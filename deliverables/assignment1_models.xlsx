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Guide" sheetId="1" r:id="rId1"/>
    <sheet name="Inputs" sheetId="2" r:id="rId2"/>
    <sheet name="CAC_LTV" sheetId="3" r:id="rId3"/>
    <sheet name="Churn" sheetId="4" r:id="rId4"/>
    <sheet name="TCO" sheetId="5" r:id="rId5"/>
    <sheet name="Sensitivity" sheetId="6" r:id="rId6"/>
    <sheet name="Charts" sheetId="7" r:id="rId7"/>
    <sheet name="Sources" sheetId="8" r:id="rId8"/>
    <sheet name="Checks" sheetId="9" r:id="rId9"/>
  </sheets>
  <calcPr calcId="124519" fullCalcOnLoad="1"/>
</workbook>
</file>

<file path=xl/comments1.xml><?xml version="1.0" encoding="utf-8"?>
<comments xmlns="http://schemas.openxmlformats.org/spreadsheetml/2006/main">
  <authors>
    <author/>
  </authors>
  <commentList>
    <comment ref="B5" authorId="0">
      <text>
        <r>
          <rPr>
            <sz val="8"/>
            <color indexed="81"/>
            <rFont val="Tahoma"/>
            <family val="2"/>
          </rPr>
          <t>This assignment model has five explicit annual rows. Keep this input at 5; extend all year rows and formulas for a different horizon.</t>
        </r>
      </text>
    </comment>
  </commentList>
</comments>
</file>

<file path=xl/sharedStrings.xml><?xml version="1.0" encoding="utf-8"?>
<sst xmlns="http://schemas.openxmlformats.org/spreadsheetml/2006/main" count="289" uniqueCount="269">
  <si>
    <t>Assignment 1 | Model guide and scope</t>
  </si>
  <si>
    <t>Purpose: compare a hypothetical 200-user SME’s Exchange SE and Google Workspace options over 2026–2030, while separating supplier CAC/LTV from buyer TCO.</t>
  </si>
  <si>
    <t>All numeric commercial, cost, risk and churn inputs are ILLUSTRATIVE ASSUMPTIONS supplied or explicitly derived from the case. No vendor customer cohort or empirical fit is represented.</t>
  </si>
  <si>
    <t>Blue cells on Inputs are editable; other sheets use Excel formulas. Changing baseline n updates B1 through the Churn sheet. Charts on Charts update with their linked data.</t>
  </si>
  <si>
    <t>LTV timing: an account active at the start of a year earns that year’s contribution; churn occurs at year-end. Cash is discounted at year-end. Thus survival exponent is t−1, not t.</t>
  </si>
  <si>
    <t>Risk loss is a 5% haircut to contribution, not a second churn probability. Annual churn is independent and held constant within each scenario; no terminal value is used.</t>
  </si>
  <si>
    <t>Cross-subsidy is a hypothetical USD 30,000 credit against USD 70,000 gross acquisition spending. Net allocated CAC falls, but ecosystem-wide resource cost remains USD 7,000/account. No actual Google transfer is claimed.</t>
  </si>
  <si>
    <t>TCO: nominal USD cash costs, opening-2026 one-off payments, five annual recurring payments. 200 seats, fixed prices, no tax/inflation/discount, zero residual value. Common connectivity and endpoints are excluded equally.</t>
  </si>
  <si>
    <t>Sensitivity varies only Google subscription price and Exchange FTE at USD 80,000/FTE/year. A USD 14 plan is a cost stress, not an assertion of equal plan features.</t>
  </si>
  <si>
    <t>Sources contains exact URLs, supported claims and verification status. Official Google pages and Microsoft Learn sources were checked. The Microsoft licensing commercial page still returned HTTP 403 and needs manual review. Model budgets are not vendor quotations.</t>
  </si>
  <si>
    <t>Readiness: see Checks. Cached values are included; open in Excel/LibreOffice to recalculate after changing inputs. External PNG/PDF/SVG figures represent the original baseline and do not auto-refresh.</t>
  </si>
  <si>
    <t>Submission: student must review all reasoning and citations, add identification as required, complete VeriGuide and the institution’s Signed Declaration, attach authentic evidence and submit via Blackboard.</t>
  </si>
  <si>
    <t>Inputs | All numbers are illustrative assumptions</t>
  </si>
  <si>
    <t>Parameter</t>
  </si>
  <si>
    <t>Value</t>
  </si>
  <si>
    <t>Units</t>
  </si>
  <si>
    <t>Definition / boundary</t>
  </si>
  <si>
    <t>employees</t>
  </si>
  <si>
    <t>users</t>
  </si>
  <si>
    <t>Constant licensed users, 2026-2030.</t>
  </si>
  <si>
    <t>years</t>
  </si>
  <si>
    <t>Finite operational horizon; no terminal value.</t>
  </si>
  <si>
    <t>first_year</t>
  </si>
  <si>
    <t>year</t>
  </si>
  <si>
    <t>Cash costs start at opening of 2026.</t>
  </si>
  <si>
    <t>clients</t>
  </si>
  <si>
    <t>enterprise accounts</t>
  </si>
  <si>
    <t>Each supplier acquires this many accounts.</t>
  </si>
  <si>
    <t>exchange_acq</t>
  </si>
  <si>
    <t>USD</t>
  </si>
  <si>
    <t>Illustrative gross/net acquisition budget.</t>
  </si>
  <si>
    <t>google_gross_acq</t>
  </si>
  <si>
    <t>Hypothetical common gross campaign cost.</t>
  </si>
  <si>
    <t>ecosystem_credit</t>
  </si>
  <si>
    <t>Illustrative adjacent-business funding; allocation only.</t>
  </si>
  <si>
    <t>annual_gp</t>
  </si>
  <si>
    <t>USD/account/year</t>
  </si>
  <si>
    <t>Standardized contribution before operating-risk haircut.</t>
  </si>
  <si>
    <t>risk_loss</t>
  </si>
  <si>
    <t>fraction/year</t>
  </si>
  <si>
    <t>Expected contribution loss, distinct from churn.</t>
  </si>
  <si>
    <t>discount</t>
  </si>
  <si>
    <t>Annual end-of-year discount rate.</t>
  </si>
  <si>
    <t>churn_base</t>
  </si>
  <si>
    <t>Illustrative churn at n=0; not fitted to data.</t>
  </si>
  <si>
    <t>churn_beta</t>
  </si>
  <si>
    <t>per integration</t>
  </si>
  <si>
    <t>Illustrative exponential decay coefficient.</t>
  </si>
  <si>
    <t>base_n</t>
  </si>
  <si>
    <t>integrations</t>
  </si>
  <si>
    <t>Baseline active material API/workflow integrations.</t>
  </si>
  <si>
    <t>hardware</t>
  </si>
  <si>
    <t>USD, once</t>
  </si>
  <si>
    <t>Two servers plus storage; planning allowance.</t>
  </si>
  <si>
    <t>deployment</t>
  </si>
  <si>
    <t>Exchange implementation at opening of 2026.</t>
  </si>
  <si>
    <t>licensing</t>
  </si>
  <si>
    <t>USD/year</t>
  </si>
  <si>
    <t>Exchange/SA and underlying OS/CAL allowance; quote needed.</t>
  </si>
  <si>
    <t>loaded_fte</t>
  </si>
  <si>
    <t>USD/FTE/year</t>
  </si>
  <si>
    <t>Implied by USD 24,000 at 0.30 FTE.</t>
  </si>
  <si>
    <t>exchange_fte</t>
  </si>
  <si>
    <t>FTE</t>
  </si>
  <si>
    <t>Baseline incremental annual administration.</t>
  </si>
  <si>
    <t>facilities</t>
  </si>
  <si>
    <t>Incremental on-premises facilities/network/maintenance.</t>
  </si>
  <si>
    <t>backup</t>
  </si>
  <si>
    <t>USD/year/option</t>
  </si>
  <si>
    <t>Incremental backup and security in both options.</t>
  </si>
  <si>
    <t>migration</t>
  </si>
  <si>
    <t>Cloud migration and training at opening of 2026.</t>
  </si>
  <si>
    <t>google_price</t>
  </si>
  <si>
    <t>USD/user/month</t>
  </si>
  <si>
    <t>Illustrative flat 2026-2030 scenario; not a current quote.</t>
  </si>
  <si>
    <t>google_admin</t>
  </si>
  <si>
    <t>Cloud administration allowance.</t>
  </si>
  <si>
    <t>stress_price</t>
  </si>
  <si>
    <t>Higher-subscription sensitivity scenario.</t>
  </si>
  <si>
    <t>low_fte</t>
  </si>
  <si>
    <t>Lower on-premises staffing sensitivity scenario.</t>
  </si>
  <si>
    <t>B2 | Integration scenarios and retained customers</t>
  </si>
  <si>
    <t>n (count)</t>
  </si>
  <si>
    <t>Annual churn</t>
  </si>
  <si>
    <t>End-2030 retention</t>
  </si>
  <si>
    <t>5-year LTV (USD)</t>
  </si>
  <si>
    <t>Exchange LTV/CAC</t>
  </si>
  <si>
    <t>Google LTV/CAC</t>
  </si>
  <si>
    <t>Scenarios are alternative integration counts, not successive calendar years. Within each scenario, churn and n remain constant through 2026–2030. Retention=(1−c)^5, conditional on presence at opening-2026.</t>
  </si>
  <si>
    <t>No causal estimate is claimed. Data quality, usability, customer mix and portability could change the sign or magnitude of an observed relationship. API availability alone does not prove retention.</t>
  </si>
  <si>
    <t>B1 | Supplier-level CAC and risk-adjusted LTV</t>
  </si>
  <si>
    <t>Metric</t>
  </si>
  <si>
    <t>Exchange SE</t>
  </si>
  <si>
    <t>Google Workspace</t>
  </si>
  <si>
    <t>Gross acquisition spending</t>
  </si>
  <si>
    <t>Ecosystem funding credit</t>
  </si>
  <si>
    <t>Net allocated acquisition cost</t>
  </si>
  <si>
    <t>CAC per acquired account</t>
  </si>
  <si>
    <t>5-year risk-adjusted LTV</t>
  </si>
  <si>
    <t>LTV / net allocated CAC</t>
  </si>
  <si>
    <t>Gross resource CAC (no funding credit)</t>
  </si>
  <si>
    <t>LTV / gross resource CAC</t>
  </si>
  <si>
    <t>Selected baseline n</t>
  </si>
  <si>
    <t>Linked baseline annual churn</t>
  </si>
  <si>
    <t>Year t</t>
  </si>
  <si>
    <t>Calendar year</t>
  </si>
  <si>
    <t>Start-year survival</t>
  </si>
  <si>
    <t>End-year retention</t>
  </si>
  <si>
    <t>Risk-adjusted GP</t>
  </si>
  <si>
    <t>Discount factor</t>
  </si>
  <si>
    <t>Present value</t>
  </si>
  <si>
    <t>Alternative timing LTV</t>
  </si>
  <si>
    <t>Base formula: Σ[t=1..5] GP×(1−risk loss)×(1−annual churn)^(t−1)/(1+discount)^t. Alternative timing applies churn before every year’s contribution, including year 1. Neither is a perpetual LTV.</t>
  </si>
  <si>
    <t>Funding credit changes the cost assigned to the focal product, not total ecosystem resource use. This is a transparent hypothetical cross-subsidy mechanism, not observed Google or Microsoft financial performance.</t>
  </si>
  <si>
    <t>B3 | Buyer-level nominal cash costs, 2026–2030</t>
  </si>
  <si>
    <t>Cash cost category</t>
  </si>
  <si>
    <t>Exchange SE (USD)</t>
  </si>
  <si>
    <t>Google (USD)</t>
  </si>
  <si>
    <t>Timing / scope</t>
  </si>
  <si>
    <t>Hardware / storage</t>
  </si>
  <si>
    <t>Opening-2026; zero residual value</t>
  </si>
  <si>
    <t>Deployment / migration</t>
  </si>
  <si>
    <t>Opening-2026; cloud includes training</t>
  </si>
  <si>
    <t>Total one-off</t>
  </si>
  <si>
    <t>Do not add again to recurring expenses</t>
  </si>
  <si>
    <t>Licensing / subscriptions</t>
  </si>
  <si>
    <t>Annual; illustrative licensing allowance / price</t>
  </si>
  <si>
    <t>Administration</t>
  </si>
  <si>
    <t>Annual; USD 80,000/FTE/year for Exchange</t>
  </si>
  <si>
    <t>Facilities/network/maintenance</t>
  </si>
  <si>
    <t>Annual incremental on-premises allowance</t>
  </si>
  <si>
    <t>Backup / added security</t>
  </si>
  <si>
    <t>Annual incremental control allowance</t>
  </si>
  <si>
    <t>Total annual recurring</t>
  </si>
  <si>
    <t>Five recurring payments</t>
  </si>
  <si>
    <t>Five-year TCO</t>
  </si>
  <si>
    <t>Nominal USD; no discounting</t>
  </si>
  <si>
    <t>Google savings (USD)</t>
  </si>
  <si>
    <t>Savings / Exchange TCO</t>
  </si>
  <si>
    <t>Cash year</t>
  </si>
  <si>
    <t>Cumulative Exchange</t>
  </si>
  <si>
    <t>Cumulative Google</t>
  </si>
  <si>
    <t>The two-server allowance is a cost scenario, not a validated resilient architecture. Existing directory/DNS capacity is assumed reusable. Required OS/CAL/SE entitlements and backup design must be checked with current official terms and a reseller quote.</t>
  </si>
  <si>
    <t>Excluded symmetrically: common endpoints/internet, tax, inflation, financing, productivity valuation and outage losses. No hardware refresh or decommissioning cost is modeled; prices and users stay constant. Feature equivalence and regulatory suitability are not established.</t>
  </si>
  <si>
    <t>Sensitivity | Two-variable cost reversal test</t>
  </si>
  <si>
    <t>Google USD/user/month</t>
  </si>
  <si>
    <t>Exchange FTE</t>
  </si>
  <si>
    <t>Exchange TCO</t>
  </si>
  <si>
    <t>Google TCO</t>
  </si>
  <si>
    <t>Google savings</t>
  </si>
  <si>
    <t>Preferred by cost</t>
  </si>
  <si>
    <t>Break-even Google price</t>
  </si>
  <si>
    <t>Positive savings favour Google. At USD 14/user/month and 0.15 Exchange FTE, Exchange is USD 27,000 cheaper. This does not prove either plan meets the same functional or compliance requirements.</t>
  </si>
  <si>
    <t>Figures | Linked Excel charts</t>
  </si>
  <si>
    <t>Baseline TCO: USD 7/user/month and 0.30 Exchange FTE. The line chart uses integration scenarios, not calendar time. External figure files are static exports of the initial baseline.</t>
  </si>
  <si>
    <t>Official sources | Claim mapping and access audit</t>
  </si>
  <si>
    <t>ID</t>
  </si>
  <si>
    <t>Organization / date</t>
  </si>
  <si>
    <t>Title</t>
  </si>
  <si>
    <t>Official URL</t>
  </si>
  <si>
    <t>Supported use</t>
  </si>
  <si>
    <t>Verification status</t>
  </si>
  <si>
    <t>Official GitHub source</t>
  </si>
  <si>
    <t>G1</t>
  </si>
  <si>
    <t>Google (2006)</t>
  </si>
  <si>
    <t>Get your people talking</t>
  </si>
  <si>
    <t>https://googleblog.blogspot.com/2006/08/get-your-people-talking.html</t>
  </si>
  <si>
    <t>Historical entry into hosted enterprise applications in 2006.</t>
  </si>
  <si>
    <t>VERIFIED: original official announcement retrieved; dated 28 August 2006.</t>
  </si>
  <si>
    <t>G2</t>
  </si>
  <si>
    <t>Google (n.d.-a)</t>
  </si>
  <si>
    <t>Google Workspace pricing</t>
  </si>
  <si>
    <t>https://workspace.google.com/pricing.html</t>
  </si>
  <si>
    <t>Product/bundle and current plan/commitment checks only. USD 7 and 14 are scenario inputs, not verified quotes.</t>
  </si>
  <si>
    <t>VERIFIED: official pricing page retrieved. Annual-commitment standard USD 7/14 displayed, with separate promotions; five-year flat prices remain assumptions.</t>
  </si>
  <si>
    <t>G3</t>
  </si>
  <si>
    <t>Google (n.d.-b)</t>
  </si>
  <si>
    <t>Google Workspace Marketplace</t>
  </si>
  <si>
    <t>https://developers.google.com/workspace/marketplace</t>
  </si>
  <si>
    <t>Third-party app distribution and integration ecosystem; no installed-base or network-effect estimate.</t>
  </si>
  <si>
    <t>VERIFIED: official Marketplace overview retrieved; third-party apps and add-on publishing documented.</t>
  </si>
  <si>
    <t>G4</t>
  </si>
  <si>
    <t>Google (n.d.-c)</t>
  </si>
  <si>
    <t>Gmail API: Python quickstart</t>
  </si>
  <si>
    <t>https://developers.google.com/workspace/gmail/api/quickstart/python</t>
  </si>
  <si>
    <t>OAuth scopes, credentials and Gmail label-list API in official sample.</t>
  </si>
  <si>
    <t>VERIFIED: official developer page and official GitHub source both retrieved.</t>
  </si>
  <si>
    <t>https://raw.githubusercontent.com/googleworkspace/python-samples/main/gmail/quickstart/quickstart.py</t>
  </si>
  <si>
    <t>G5</t>
  </si>
  <si>
    <t>Google (n.d.-d)</t>
  </si>
  <si>
    <t>Admin SDK Directory API: Python quickstart</t>
  </si>
  <si>
    <t>https://developers.google.com/workspace/admin/directory/v1/quickstart/python</t>
  </si>
  <si>
    <t>Directory user-list API, OAuth scope and credential dependency.</t>
  </si>
  <si>
    <t>https://raw.githubusercontent.com/googleworkspace/python-samples/main/admin_sdk/directory/quickstart.py</t>
  </si>
  <si>
    <t>G6</t>
  </si>
  <si>
    <t>Google (n.d.-e)</t>
  </si>
  <si>
    <t>Google Drive API: Python quickstart</t>
  </si>
  <si>
    <t>https://developers.google.com/workspace/drive/api/quickstart/python</t>
  </si>
  <si>
    <t>Drive file metadata access through a scoped API; not proof of full-fidelity migration.</t>
  </si>
  <si>
    <t>https://raw.githubusercontent.com/googleworkspace/python-samples/main/drive/quickstart/quickstart.py</t>
  </si>
  <si>
    <t>M1</t>
  </si>
  <si>
    <t>Microsoft (n.d.-a)</t>
  </si>
  <si>
    <t>Exchange Server licensing overview</t>
  </si>
  <si>
    <t>https://www.microsoft.com/en-us/microsoft-365/exchange/microsoft-exchange-server-licensing-licensing-overview</t>
  </si>
  <si>
    <t>Licensing due diligence only. USD 12,000/year is an illustrative allowance, not a vendor quotation.</t>
  </si>
  <si>
    <t>PENDING: commercial page returned HTTP 403 after network restoration. SE entitlements and underlying Windows/CAL coverage need a current quote; no price or exact entitlement claim is used.</t>
  </si>
  <si>
    <t>M2</t>
  </si>
  <si>
    <t>Microsoft (n.d.-b)</t>
  </si>
  <si>
    <t>New-Mailbox (ExchangePowerShell)</t>
  </si>
  <si>
    <t>https://learn.microsoft.com/powershell/module/exchangepowershell/new-mailbox</t>
  </si>
  <si>
    <t>Official applicability lists both Exchange Server SE and Exchange Online; mailbox and user-account creation.</t>
  </si>
  <si>
    <t>VERIFIED: official MicrosoftDocs source retrieved; rendered Learn page not accessed.</t>
  </si>
  <si>
    <t>https://raw.githubusercontent.com/MicrosoftDocs/office-docs-powershell/main/exchange/exchange-ps/ExchangePowerShell/New-Mailbox.md</t>
  </si>
  <si>
    <t>M3</t>
  </si>
  <si>
    <t>Microsoft (n.d.-c)</t>
  </si>
  <si>
    <t>New-MigrationBatch (ExchangePowerShell)</t>
  </si>
  <si>
    <t>https://learn.microsoft.com/powershell/module/exchangepowershell/new-migrationbatch</t>
  </si>
  <si>
    <t>Batched migration requests, endpoints and environment-specific parameters.</t>
  </si>
  <si>
    <t>https://raw.githubusercontent.com/MicrosoftDocs/office-docs-powershell/main/exchange/exchange-ps/ExchangePowerShell/New-MigrationBatch.md</t>
  </si>
  <si>
    <t>M4</t>
  </si>
  <si>
    <t>Microsoft (n.d.-d)</t>
  </si>
  <si>
    <t>Exchange Online service description</t>
  </si>
  <si>
    <t>https://learn.microsoft.com/en-us/office365/servicedescriptions/exchange-online-service-description/exchange-online-service-description</t>
  </si>
  <si>
    <t>Exchange Online as the procurement comparator; current price/features not asserted.</t>
  </si>
  <si>
    <t>VERIFIED: official Learn service description retrieved. Commercial pricing page returned HTTP 403; no Exchange Online price is modeled.</t>
  </si>
  <si>
    <t>M5</t>
  </si>
  <si>
    <t>Microsoft (n.d.-e)</t>
  </si>
  <si>
    <t>Exchange Server architecture</t>
  </si>
  <si>
    <t>https://learn.microsoft.com/en-us/exchange/architecture/architecture?view=exchserver-2019</t>
  </si>
  <si>
    <t>Server-side architecture and deployment responsibilities; SE applicability requires checking.</t>
  </si>
  <si>
    <t>VERIFIED: official Learn architecture page retrieved; current page applies to Subscription Edition.</t>
  </si>
  <si>
    <t>M6</t>
  </si>
  <si>
    <t>Microsoft (n.d.-f)</t>
  </si>
  <si>
    <t>What is new in Exchange Server Subscription Edition (SE)</t>
  </si>
  <si>
    <t>https://learn.microsoft.com/en-us/exchange/new-features/new-features?view=exchserver-2019</t>
  </si>
  <si>
    <t>Current Exchange Server/SE product context; no retirement or release-date assertion is made.</t>
  </si>
  <si>
    <t>VERIFIED: official Learn SE page retrieved; no retirement or release-date assertion used.</t>
  </si>
  <si>
    <t>Access audit date: 16 October 2026. A verified GitHub sample supports only the stated API/documentation claim. It is not a live API test, a product-price verification or evidence of vendor churn/CAC.</t>
  </si>
  <si>
    <t>Validation | Formula identities and scenario checks</t>
  </si>
  <si>
    <t>Check</t>
  </si>
  <si>
    <t>Result</t>
  </si>
  <si>
    <t>Expected / rationale</t>
  </si>
  <si>
    <t>Baseline CAC, Exchange</t>
  </si>
  <si>
    <t>USD 7,000</t>
  </si>
  <si>
    <t>Baseline CAC, Google</t>
  </si>
  <si>
    <t>USD 4,000</t>
  </si>
  <si>
    <t>Linked churn, n=4</t>
  </si>
  <si>
    <t>Unrounded baseline used throughout</t>
  </si>
  <si>
    <t>Finite-horizon baseline LTV</t>
  </si>
  <si>
    <t>End-year cash; start-year survival</t>
  </si>
  <si>
    <t>Scenario n=4 links to B1</t>
  </si>
  <si>
    <t>Same provider-normalized LTV</t>
  </si>
  <si>
    <t>Exchange 5-year TCO</t>
  </si>
  <si>
    <t>USD 41,000 + 5 × USD 48,000</t>
  </si>
  <si>
    <t>Google 5-year TCO</t>
  </si>
  <si>
    <t>USD 15,000 + 5 × USD 29,800</t>
  </si>
  <si>
    <t>Annual schedule reconciliation</t>
  </si>
  <si>
    <t>Five annual rows reconcile</t>
  </si>
  <si>
    <t>High-price / low-FTE reversal</t>
  </si>
  <si>
    <t>Google savings = −USD 27,000</t>
  </si>
  <si>
    <t>Churn and retention direction</t>
  </si>
  <si>
    <t>Illustrative monotonic model</t>
  </si>
  <si>
    <t>First-year contribution timing</t>
  </si>
  <si>
    <t>No churn before year-1 contribution</t>
  </si>
  <si>
    <t>Alternative-timing identity</t>
  </si>
  <si>
    <t>About USD 15,300</t>
  </si>
  <si>
    <t>All baseline assumptions unchanged</t>
  </si>
  <si>
    <t>Baseline checkpoints intentionally flag edits</t>
  </si>
  <si>
    <t>Baseline checks compare against the report values and will flag legitimate input changes. They are reconciliation checks, not an empirical validation of the behavioural model or evidence that a real deployment meets requirements.</t>
  </si>
</sst>
</file>

<file path=xl/styles.xml><?xml version="1.0" encoding="utf-8"?>
<styleSheet xmlns="http://schemas.openxmlformats.org/spreadsheetml/2006/main">
  <numFmts count="3">
    <numFmt numFmtId="164" formatCode="#,##0.00"/>
    <numFmt numFmtId="165" formatCode="0.00%"/>
    <numFmt numFmtId="166" formatCode="&quot;$&quot;#,##0.00"/>
  </numFmts>
  <fonts count="8">
    <font>
      <sz val="11"/>
      <color theme="1"/>
      <name val="Calibri"/>
      <family val="2"/>
      <scheme val="minor"/>
    </font>
    <font>
      <b/>
      <sz val="17"/>
      <color rgb="FF183B56"/>
      <name val="Arial"/>
      <family val="2"/>
    </font>
    <font>
      <i/>
      <sz val="10"/>
      <color rgb="FF5D6570"/>
      <name val="Arial"/>
      <family val="2"/>
    </font>
    <font>
      <b/>
      <sz val="11"/>
      <color rgb="FFFFFFFF"/>
      <name val="Arial"/>
      <family val="2"/>
    </font>
    <font>
      <sz val="10"/>
      <color theme="1"/>
      <name val="Arial"/>
      <family val="2"/>
    </font>
    <font>
      <sz val="11"/>
      <color rgb="FF145B9B"/>
      <name val="Arial"/>
      <family val="2"/>
    </font>
    <font>
      <sz val="11"/>
      <color rgb="FF166245"/>
      <name val="Arial"/>
      <family val="2"/>
    </font>
    <font>
      <sz val="8"/>
      <color indexed="81"/>
      <name val="Tahoma"/>
      <family val="2"/>
    </font>
  </fonts>
  <fills count="5">
    <fill>
      <patternFill patternType="none"/>
    </fill>
    <fill>
      <patternFill patternType="gray125"/>
    </fill>
    <fill>
      <patternFill patternType="solid">
        <fgColor rgb="FF183B56"/>
        <bgColor indexed="64"/>
      </patternFill>
    </fill>
    <fill>
      <patternFill patternType="solid">
        <fgColor rgb="FFEAF4FC"/>
        <bgColor indexed="64"/>
      </patternFill>
    </fill>
    <fill>
      <patternFill patternType="solid">
        <fgColor rgb="FFE0F2E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0" borderId="0" xfId="0" applyFont="1"/>
    <xf numFmtId="0" fontId="2" fillId="0" borderId="0" xfId="0" applyFont="1" applyAlignment="1">
      <alignment vertical="top" wrapText="1"/>
    </xf>
    <xf numFmtId="0" fontId="3" fillId="2" borderId="1" xfId="0" applyFont="1" applyFill="1" applyBorder="1" applyAlignment="1">
      <alignment vertical="center" wrapText="1"/>
    </xf>
    <xf numFmtId="0" fontId="4" fillId="0" borderId="0" xfId="0" applyFont="1" applyAlignment="1">
      <alignment vertical="top" wrapText="1"/>
    </xf>
    <xf numFmtId="164" fontId="5" fillId="3" borderId="0" xfId="0" applyNumberFormat="1" applyFont="1" applyFill="1"/>
    <xf numFmtId="165" fontId="5" fillId="3" borderId="0" xfId="0" applyNumberFormat="1" applyFont="1" applyFill="1"/>
    <xf numFmtId="166" fontId="4" fillId="0" borderId="0" xfId="0" applyNumberFormat="1" applyFont="1"/>
    <xf numFmtId="164" fontId="4" fillId="0" borderId="0" xfId="0" applyNumberFormat="1" applyFont="1"/>
    <xf numFmtId="165" fontId="4" fillId="0" borderId="0" xfId="0" applyNumberFormat="1" applyFont="1"/>
    <xf numFmtId="0" fontId="6" fillId="4" borderId="0" xfId="0" applyFont="1" applyFill="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2026–2030 scenarios: c(n)=0.18 exp(−0.10n)</a:t>
            </a:r>
          </a:p>
        </c:rich>
      </c:tx>
      <c:layout/>
    </c:title>
    <c:plotArea>
      <c:layout/>
      <c:scatterChart>
        <c:scatterStyle val="lineMarker"/>
        <c:ser>
          <c:idx val="0"/>
          <c:order val="0"/>
          <c:tx>
            <c:v>Annual churn (illustrative)</c:v>
          </c:tx>
          <c:spPr>
            <a:ln>
              <a:solidFill>
                <a:srgbClr val="007F86"/>
              </a:solidFill>
            </a:ln>
          </c:spPr>
          <c:marker>
            <c:symbol val="circle"/>
            <c:size val="7"/>
          </c:marker>
          <c:dLbls>
            <c:numFmt formatCode="0.00%" sourceLinked="0"/>
            <c:showVal val="1"/>
          </c:dLbls>
          <c:xVal>
            <c:numRef>
              <c:f>Churn!$A$4:$A$8</c:f>
              <c:numCache>
                <c:formatCode>General</c:formatCode>
                <c:ptCount val="5"/>
                <c:pt idx="0">
                  <c:v>0</c:v>
                </c:pt>
                <c:pt idx="1">
                  <c:v>2</c:v>
                </c:pt>
                <c:pt idx="2">
                  <c:v>4</c:v>
                </c:pt>
                <c:pt idx="3">
                  <c:v>6</c:v>
                </c:pt>
                <c:pt idx="4">
                  <c:v>8</c:v>
                </c:pt>
              </c:numCache>
            </c:numRef>
          </c:xVal>
          <c:yVal>
            <c:numRef>
              <c:f>Churn!$B$4:$B$8</c:f>
              <c:numCache>
                <c:formatCode>General</c:formatCode>
                <c:ptCount val="5"/>
                <c:pt idx="0">
                  <c:v>0.18</c:v>
                </c:pt>
                <c:pt idx="1">
                  <c:v>0.14737153555403673</c:v>
                </c:pt>
                <c:pt idx="2">
                  <c:v>0.12065760828641507</c:v>
                </c:pt>
                <c:pt idx="3">
                  <c:v>0.09878609449692474</c:v>
                </c:pt>
                <c:pt idx="4">
                  <c:v>0.08087921354109988</c:v>
                </c:pt>
              </c:numCache>
            </c:numRef>
          </c:yVal>
        </c:ser>
        <c:axId val="50010001"/>
        <c:axId val="50010002"/>
      </c:scatterChart>
      <c:valAx>
        <c:axId val="50010001"/>
        <c:scaling>
          <c:orientation val="minMax"/>
          <c:max val="8"/>
          <c:min val="0"/>
        </c:scaling>
        <c:axPos val="b"/>
        <c:title>
          <c:tx>
            <c:rich>
              <a:bodyPr/>
              <a:lstStyle/>
              <a:p>
                <a:pPr>
                  <a:defRPr/>
                </a:pPr>
                <a:r>
                  <a:rPr lang="en-US"/>
                  <a:t>Active material integrations, n (count)</a:t>
                </a:r>
              </a:p>
            </c:rich>
          </c:tx>
          <c:layout/>
        </c:title>
        <c:numFmt formatCode="General" sourceLinked="1"/>
        <c:tickLblPos val="nextTo"/>
        <c:crossAx val="50010002"/>
        <c:crosses val="autoZero"/>
        <c:crossBetween val="midCat"/>
        <c:majorUnit val="2"/>
      </c:valAx>
      <c:valAx>
        <c:axId val="50010002"/>
        <c:scaling>
          <c:orientation val="minMax"/>
          <c:max val="0.22"/>
          <c:min val="0"/>
        </c:scaling>
        <c:axPos val="l"/>
        <c:majorGridlines/>
        <c:title>
          <c:tx>
            <c:rich>
              <a:bodyPr rot="-5400000" vert="horz"/>
              <a:lstStyle/>
              <a:p>
                <a:pPr>
                  <a:defRPr/>
                </a:pPr>
                <a:r>
                  <a:rPr lang="en-US"/>
                  <a:t>Annual customer churn (%)</a:t>
                </a:r>
              </a:p>
            </c:rich>
          </c:tx>
          <c:layout/>
        </c:title>
        <c:numFmt formatCode="0%" sourceLinked="0"/>
        <c:tickLblPos val="nextTo"/>
        <c:crossAx val="50010001"/>
        <c:crosses val="autoZero"/>
        <c:crossBetween val="midCat"/>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200 users | 2026–2030 | Illustrative assumptions</a:t>
            </a:r>
          </a:p>
        </c:rich>
      </c:tx>
      <c:layout/>
    </c:title>
    <c:plotArea>
      <c:layout/>
      <c:barChart>
        <c:barDir val="col"/>
        <c:grouping val="clustered"/>
        <c:ser>
          <c:idx val="0"/>
          <c:order val="0"/>
          <c:tx>
            <c:v>Five-year TCO (nominal USD)</c:v>
          </c:tx>
          <c:dPt>
            <c:idx val="0"/>
            <c:spPr>
              <a:solidFill>
                <a:srgbClr val="183B56"/>
              </a:solidFill>
            </c:spPr>
          </c:dPt>
          <c:dPt>
            <c:idx val="1"/>
            <c:spPr>
              <a:solidFill>
                <a:srgbClr val="007F86"/>
              </a:solidFill>
            </c:spPr>
          </c:dPt>
          <c:dLbls>
            <c:numFmt formatCode="$#,##0" sourceLinked="0"/>
            <c:showVal val="1"/>
          </c:dLbls>
          <c:cat>
            <c:strRef>
              <c:f>TCO!$B$3:$C$3</c:f>
              <c:strCache>
                <c:ptCount val="2"/>
                <c:pt idx="0">
                  <c:v>Exchange SE (USD)</c:v>
                </c:pt>
                <c:pt idx="1">
                  <c:v>Google (USD)</c:v>
                </c:pt>
              </c:strCache>
            </c:strRef>
          </c:cat>
          <c:val>
            <c:numRef>
              <c:f>TCO!$B$12:$C$12</c:f>
              <c:numCache>
                <c:formatCode>General</c:formatCode>
                <c:ptCount val="2"/>
                <c:pt idx="0">
                  <c:v>281000.0</c:v>
                </c:pt>
                <c:pt idx="1">
                  <c:v>164000</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title>
          <c:tx>
            <c:rich>
              <a:bodyPr/>
              <a:lstStyle/>
              <a:p>
                <a:pPr>
                  <a:defRPr/>
                </a:pPr>
                <a:r>
                  <a:rPr lang="en-US"/>
                  <a:t>Five-year nominal TCO (USD)</a:t>
                </a:r>
              </a:p>
            </c:rich>
          </c:tx>
          <c:layout/>
        </c:title>
        <c:numFmt formatCode="$#,##0" sourceLinked="0"/>
        <c:tickLblPos val="nextTo"/>
        <c:crossAx val="5002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0</xdr:rowOff>
    </xdr:from>
    <xdr:to>
      <xdr:col>4</xdr:col>
      <xdr:colOff>533400</xdr:colOff>
      <xdr:row>17</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0</xdr:rowOff>
    </xdr:from>
    <xdr:to>
      <xdr:col>4</xdr:col>
      <xdr:colOff>533400</xdr:colOff>
      <xdr:row>39</xdr:row>
      <xdr:rowOff>133350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hyperlink" Target="https://googleblog.blogspot.com/2006/08/get-your-people-talking.html" TargetMode="External"/><Relationship Id="rId2" Type="http://schemas.openxmlformats.org/officeDocument/2006/relationships/hyperlink" Target="https://workspace.google.com/pricing.html" TargetMode="External"/><Relationship Id="rId3" Type="http://schemas.openxmlformats.org/officeDocument/2006/relationships/hyperlink" Target="https://developers.google.com/workspace/marketplace" TargetMode="External"/><Relationship Id="rId4" Type="http://schemas.openxmlformats.org/officeDocument/2006/relationships/hyperlink" Target="https://developers.google.com/workspace/gmail/api/quickstart/python" TargetMode="External"/><Relationship Id="rId5" Type="http://schemas.openxmlformats.org/officeDocument/2006/relationships/hyperlink" Target="https://raw.githubusercontent.com/googleworkspace/python-samples/main/gmail/quickstart/quickstart.py" TargetMode="External"/><Relationship Id="rId6" Type="http://schemas.openxmlformats.org/officeDocument/2006/relationships/hyperlink" Target="https://developers.google.com/workspace/admin/directory/v1/quickstart/python" TargetMode="External"/><Relationship Id="rId7" Type="http://schemas.openxmlformats.org/officeDocument/2006/relationships/hyperlink" Target="https://raw.githubusercontent.com/googleworkspace/python-samples/main/admin_sdk/directory/quickstart.py" TargetMode="External"/><Relationship Id="rId8" Type="http://schemas.openxmlformats.org/officeDocument/2006/relationships/hyperlink" Target="https://developers.google.com/workspace/drive/api/quickstart/python" TargetMode="External"/><Relationship Id="rId9" Type="http://schemas.openxmlformats.org/officeDocument/2006/relationships/hyperlink" Target="https://raw.githubusercontent.com/googleworkspace/python-samples/main/drive/quickstart/quickstart.py" TargetMode="External"/><Relationship Id="rId10" Type="http://schemas.openxmlformats.org/officeDocument/2006/relationships/hyperlink" Target="https://www.microsoft.com/en-us/microsoft-365/exchange/microsoft-exchange-server-licensing-licensing-overview" TargetMode="External"/><Relationship Id="rId11" Type="http://schemas.openxmlformats.org/officeDocument/2006/relationships/hyperlink" Target="https://learn.microsoft.com/powershell/module/exchangepowershell/new-mailbox" TargetMode="External"/><Relationship Id="rId12" Type="http://schemas.openxmlformats.org/officeDocument/2006/relationships/hyperlink" Target="https://raw.githubusercontent.com/MicrosoftDocs/office-docs-powershell/main/exchange/exchange-ps/ExchangePowerShell/New-Mailbox.md" TargetMode="External"/><Relationship Id="rId13" Type="http://schemas.openxmlformats.org/officeDocument/2006/relationships/hyperlink" Target="https://learn.microsoft.com/powershell/module/exchangepowershell/new-migrationbatch" TargetMode="External"/><Relationship Id="rId14" Type="http://schemas.openxmlformats.org/officeDocument/2006/relationships/hyperlink" Target="https://raw.githubusercontent.com/MicrosoftDocs/office-docs-powershell/main/exchange/exchange-ps/ExchangePowerShell/New-MigrationBatch.md" TargetMode="External"/><Relationship Id="rId15" Type="http://schemas.openxmlformats.org/officeDocument/2006/relationships/hyperlink" Target="https://learn.microsoft.com/en-us/office365/servicedescriptions/exchange-online-service-description/exchange-online-service-description" TargetMode="External"/><Relationship Id="rId16" Type="http://schemas.openxmlformats.org/officeDocument/2006/relationships/hyperlink" Target="https://learn.microsoft.com/en-us/exchange/architecture/architecture?view=exchserver-2019" TargetMode="External"/><Relationship Id="rId17" Type="http://schemas.openxmlformats.org/officeDocument/2006/relationships/hyperlink" Target="https://learn.microsoft.com/en-us/exchange/new-features/new-features?view=exchserver-2019" TargetMode="External"/></Relationships>
</file>

<file path=xl/worksheets/sheet1.xml><?xml version="1.0" encoding="utf-8"?>
<worksheet xmlns="http://schemas.openxmlformats.org/spreadsheetml/2006/main" xmlns:r="http://schemas.openxmlformats.org/officeDocument/2006/relationships">
  <sheetPr>
    <pageSetUpPr fitToPage="1"/>
  </sheetPr>
  <dimension ref="A1:H35"/>
  <sheetViews>
    <sheetView showGridLines="0" tabSelected="1"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35.7109375" customWidth="1"/>
    <col min="2" max="8" width="19.7109375" customWidth="1"/>
  </cols>
  <sheetData>
    <row r="1" spans="1:8" ht="22" customHeight="1">
      <c r="A1" s="1" t="s">
        <v>0</v>
      </c>
      <c r="B1" s="1"/>
      <c r="C1" s="1"/>
      <c r="D1" s="1"/>
      <c r="E1" s="1"/>
      <c r="F1" s="1"/>
      <c r="G1" s="1"/>
      <c r="H1" s="1"/>
    </row>
    <row r="4" spans="1:8" ht="25" customHeight="1">
      <c r="A4" s="2" t="s">
        <v>1</v>
      </c>
      <c r="B4" s="2"/>
      <c r="C4" s="2"/>
      <c r="D4" s="2"/>
      <c r="E4" s="2"/>
      <c r="F4" s="2"/>
      <c r="G4" s="2"/>
      <c r="H4" s="2"/>
    </row>
    <row r="5" spans="1:8" ht="25" customHeight="1">
      <c r="A5" s="2"/>
      <c r="B5" s="2"/>
      <c r="C5" s="2"/>
      <c r="D5" s="2"/>
      <c r="E5" s="2"/>
      <c r="F5" s="2"/>
      <c r="G5" s="2"/>
      <c r="H5" s="2"/>
    </row>
    <row r="7" spans="1:8" ht="25" customHeight="1">
      <c r="A7" s="2" t="s">
        <v>2</v>
      </c>
      <c r="B7" s="2"/>
      <c r="C7" s="2"/>
      <c r="D7" s="2"/>
      <c r="E7" s="2"/>
      <c r="F7" s="2"/>
      <c r="G7" s="2"/>
      <c r="H7" s="2"/>
    </row>
    <row r="8" spans="1:8" ht="25" customHeight="1">
      <c r="A8" s="2"/>
      <c r="B8" s="2"/>
      <c r="C8" s="2"/>
      <c r="D8" s="2"/>
      <c r="E8" s="2"/>
      <c r="F8" s="2"/>
      <c r="G8" s="2"/>
      <c r="H8" s="2"/>
    </row>
    <row r="10" spans="1:8" ht="25" customHeight="1">
      <c r="A10" s="2" t="s">
        <v>3</v>
      </c>
      <c r="B10" s="2"/>
      <c r="C10" s="2"/>
      <c r="D10" s="2"/>
      <c r="E10" s="2"/>
      <c r="F10" s="2"/>
      <c r="G10" s="2"/>
      <c r="H10" s="2"/>
    </row>
    <row r="11" spans="1:8" ht="25" customHeight="1">
      <c r="A11" s="2"/>
      <c r="B11" s="2"/>
      <c r="C11" s="2"/>
      <c r="D11" s="2"/>
      <c r="E11" s="2"/>
      <c r="F11" s="2"/>
      <c r="G11" s="2"/>
      <c r="H11" s="2"/>
    </row>
    <row r="13" spans="1:8" ht="25" customHeight="1">
      <c r="A13" s="2" t="s">
        <v>4</v>
      </c>
      <c r="B13" s="2"/>
      <c r="C13" s="2"/>
      <c r="D13" s="2"/>
      <c r="E13" s="2"/>
      <c r="F13" s="2"/>
      <c r="G13" s="2"/>
      <c r="H13" s="2"/>
    </row>
    <row r="14" spans="1:8" ht="25" customHeight="1">
      <c r="A14" s="2"/>
      <c r="B14" s="2"/>
      <c r="C14" s="2"/>
      <c r="D14" s="2"/>
      <c r="E14" s="2"/>
      <c r="F14" s="2"/>
      <c r="G14" s="2"/>
      <c r="H14" s="2"/>
    </row>
    <row r="16" spans="1:8" ht="25" customHeight="1">
      <c r="A16" s="2" t="s">
        <v>5</v>
      </c>
      <c r="B16" s="2"/>
      <c r="C16" s="2"/>
      <c r="D16" s="2"/>
      <c r="E16" s="2"/>
      <c r="F16" s="2"/>
      <c r="G16" s="2"/>
      <c r="H16" s="2"/>
    </row>
    <row r="17" spans="1:8" ht="25" customHeight="1">
      <c r="A17" s="2"/>
      <c r="B17" s="2"/>
      <c r="C17" s="2"/>
      <c r="D17" s="2"/>
      <c r="E17" s="2"/>
      <c r="F17" s="2"/>
      <c r="G17" s="2"/>
      <c r="H17" s="2"/>
    </row>
    <row r="19" spans="1:8" ht="25" customHeight="1">
      <c r="A19" s="2" t="s">
        <v>6</v>
      </c>
      <c r="B19" s="2"/>
      <c r="C19" s="2"/>
      <c r="D19" s="2"/>
      <c r="E19" s="2"/>
      <c r="F19" s="2"/>
      <c r="G19" s="2"/>
      <c r="H19" s="2"/>
    </row>
    <row r="20" spans="1:8" ht="25" customHeight="1">
      <c r="A20" s="2"/>
      <c r="B20" s="2"/>
      <c r="C20" s="2"/>
      <c r="D20" s="2"/>
      <c r="E20" s="2"/>
      <c r="F20" s="2"/>
      <c r="G20" s="2"/>
      <c r="H20" s="2"/>
    </row>
    <row r="22" spans="1:8" ht="25" customHeight="1">
      <c r="A22" s="2" t="s">
        <v>7</v>
      </c>
      <c r="B22" s="2"/>
      <c r="C22" s="2"/>
      <c r="D22" s="2"/>
      <c r="E22" s="2"/>
      <c r="F22" s="2"/>
      <c r="G22" s="2"/>
      <c r="H22" s="2"/>
    </row>
    <row r="23" spans="1:8" ht="25" customHeight="1">
      <c r="A23" s="2"/>
      <c r="B23" s="2"/>
      <c r="C23" s="2"/>
      <c r="D23" s="2"/>
      <c r="E23" s="2"/>
      <c r="F23" s="2"/>
      <c r="G23" s="2"/>
      <c r="H23" s="2"/>
    </row>
    <row r="25" spans="1:8" ht="25" customHeight="1">
      <c r="A25" s="2" t="s">
        <v>8</v>
      </c>
      <c r="B25" s="2"/>
      <c r="C25" s="2"/>
      <c r="D25" s="2"/>
      <c r="E25" s="2"/>
      <c r="F25" s="2"/>
      <c r="G25" s="2"/>
      <c r="H25" s="2"/>
    </row>
    <row r="26" spans="1:8" ht="25" customHeight="1">
      <c r="A26" s="2"/>
      <c r="B26" s="2"/>
      <c r="C26" s="2"/>
      <c r="D26" s="2"/>
      <c r="E26" s="2"/>
      <c r="F26" s="2"/>
      <c r="G26" s="2"/>
      <c r="H26" s="2"/>
    </row>
    <row r="28" spans="1:8" ht="25" customHeight="1">
      <c r="A28" s="2" t="s">
        <v>9</v>
      </c>
      <c r="B28" s="2"/>
      <c r="C28" s="2"/>
      <c r="D28" s="2"/>
      <c r="E28" s="2"/>
      <c r="F28" s="2"/>
      <c r="G28" s="2"/>
      <c r="H28" s="2"/>
    </row>
    <row r="29" spans="1:8" ht="25" customHeight="1">
      <c r="A29" s="2"/>
      <c r="B29" s="2"/>
      <c r="C29" s="2"/>
      <c r="D29" s="2"/>
      <c r="E29" s="2"/>
      <c r="F29" s="2"/>
      <c r="G29" s="2"/>
      <c r="H29" s="2"/>
    </row>
    <row r="31" spans="1:8" ht="25" customHeight="1">
      <c r="A31" s="2" t="s">
        <v>10</v>
      </c>
      <c r="B31" s="2"/>
      <c r="C31" s="2"/>
      <c r="D31" s="2"/>
      <c r="E31" s="2"/>
      <c r="F31" s="2"/>
      <c r="G31" s="2"/>
      <c r="H31" s="2"/>
    </row>
    <row r="32" spans="1:8" ht="25" customHeight="1">
      <c r="A32" s="2"/>
      <c r="B32" s="2"/>
      <c r="C32" s="2"/>
      <c r="D32" s="2"/>
      <c r="E32" s="2"/>
      <c r="F32" s="2"/>
      <c r="G32" s="2"/>
      <c r="H32" s="2"/>
    </row>
    <row r="34" spans="1:8" ht="25" customHeight="1">
      <c r="A34" s="2" t="s">
        <v>11</v>
      </c>
      <c r="B34" s="2"/>
      <c r="C34" s="2"/>
      <c r="D34" s="2"/>
      <c r="E34" s="2"/>
      <c r="F34" s="2"/>
      <c r="G34" s="2"/>
      <c r="H34" s="2"/>
    </row>
    <row r="35" spans="1:8" ht="25" customHeight="1">
      <c r="A35" s="2"/>
      <c r="B35" s="2"/>
      <c r="C35" s="2"/>
      <c r="D35" s="2"/>
      <c r="E35" s="2"/>
      <c r="F35" s="2"/>
      <c r="G35" s="2"/>
      <c r="H35" s="2"/>
    </row>
  </sheetData>
  <mergeCells count="12">
    <mergeCell ref="A1:H1"/>
    <mergeCell ref="A4:H5"/>
    <mergeCell ref="A7:H8"/>
    <mergeCell ref="A10:H11"/>
    <mergeCell ref="A13:H14"/>
    <mergeCell ref="A16:H17"/>
    <mergeCell ref="A19:H20"/>
    <mergeCell ref="A22:H23"/>
    <mergeCell ref="A25:H26"/>
    <mergeCell ref="A28:H29"/>
    <mergeCell ref="A31:H32"/>
    <mergeCell ref="A34:H35"/>
  </mergeCells>
  <pageMargins left="0.7" right="0.7" top="0.75" bottom="0.75" header="0.3" footer="0.3"/>
  <pageSetup paperSize="9" fitToHeight="0" orientation="landscape"/>
  <headerFooter>
    <oddFooter>&amp;LAssignment 1 | Illustrative assumptions&amp;RPage &amp;P of &amp;N</oddFooter>
  </headerFooter>
</worksheet>
</file>

<file path=xl/worksheets/sheet2.xml><?xml version="1.0" encoding="utf-8"?>
<worksheet xmlns="http://schemas.openxmlformats.org/spreadsheetml/2006/main" xmlns:r="http://schemas.openxmlformats.org/officeDocument/2006/relationships">
  <sheetPr>
    <pageSetUpPr fitToPage="1"/>
  </sheetPr>
  <dimension ref="A1:H28"/>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25.7109375" customWidth="1"/>
    <col min="2" max="2" width="19.7109375" customWidth="1"/>
    <col min="3" max="3" width="27.7109375" customWidth="1"/>
    <col min="4" max="4" width="79.7109375" customWidth="1"/>
    <col min="5" max="8" width="19.7109375" customWidth="1"/>
  </cols>
  <sheetData>
    <row r="1" spans="1:8" ht="22" customHeight="1">
      <c r="A1" s="1" t="s">
        <v>12</v>
      </c>
      <c r="B1" s="1"/>
      <c r="C1" s="1"/>
      <c r="D1" s="1"/>
      <c r="E1" s="1"/>
      <c r="F1" s="1"/>
      <c r="G1" s="1"/>
      <c r="H1" s="1"/>
    </row>
    <row r="3" spans="1:8" ht="32" customHeight="1">
      <c r="A3" s="3" t="s">
        <v>13</v>
      </c>
      <c r="B3" s="3" t="s">
        <v>14</v>
      </c>
      <c r="C3" s="3" t="s">
        <v>15</v>
      </c>
      <c r="D3" s="3" t="s">
        <v>16</v>
      </c>
    </row>
    <row r="4" spans="1:8" ht="32" customHeight="1">
      <c r="A4" s="4" t="s">
        <v>17</v>
      </c>
      <c r="B4" s="5">
        <v>200</v>
      </c>
      <c r="C4" s="4" t="s">
        <v>18</v>
      </c>
      <c r="D4" s="4" t="s">
        <v>19</v>
      </c>
    </row>
    <row r="5" spans="1:8" ht="32" customHeight="1">
      <c r="A5" s="4" t="s">
        <v>20</v>
      </c>
      <c r="B5" s="5">
        <v>5</v>
      </c>
      <c r="C5" s="4" t="s">
        <v>20</v>
      </c>
      <c r="D5" s="4" t="s">
        <v>21</v>
      </c>
    </row>
    <row r="6" spans="1:8" ht="32" customHeight="1">
      <c r="A6" s="4" t="s">
        <v>22</v>
      </c>
      <c r="B6" s="5">
        <v>2026</v>
      </c>
      <c r="C6" s="4" t="s">
        <v>23</v>
      </c>
      <c r="D6" s="4" t="s">
        <v>24</v>
      </c>
    </row>
    <row r="7" spans="1:8" ht="32" customHeight="1">
      <c r="A7" s="4" t="s">
        <v>25</v>
      </c>
      <c r="B7" s="5">
        <v>10</v>
      </c>
      <c r="C7" s="4" t="s">
        <v>26</v>
      </c>
      <c r="D7" s="4" t="s">
        <v>27</v>
      </c>
    </row>
    <row r="8" spans="1:8" ht="32" customHeight="1">
      <c r="A8" s="4" t="s">
        <v>28</v>
      </c>
      <c r="B8" s="5">
        <v>70000</v>
      </c>
      <c r="C8" s="4" t="s">
        <v>29</v>
      </c>
      <c r="D8" s="4" t="s">
        <v>30</v>
      </c>
    </row>
    <row r="9" spans="1:8" ht="32" customHeight="1">
      <c r="A9" s="4" t="s">
        <v>31</v>
      </c>
      <c r="B9" s="5">
        <v>70000</v>
      </c>
      <c r="C9" s="4" t="s">
        <v>29</v>
      </c>
      <c r="D9" s="4" t="s">
        <v>32</v>
      </c>
    </row>
    <row r="10" spans="1:8" ht="32" customHeight="1">
      <c r="A10" s="4" t="s">
        <v>33</v>
      </c>
      <c r="B10" s="5">
        <v>30000</v>
      </c>
      <c r="C10" s="4" t="s">
        <v>29</v>
      </c>
      <c r="D10" s="4" t="s">
        <v>34</v>
      </c>
    </row>
    <row r="11" spans="1:8" ht="32" customHeight="1">
      <c r="A11" s="4" t="s">
        <v>35</v>
      </c>
      <c r="B11" s="5">
        <v>6000</v>
      </c>
      <c r="C11" s="4" t="s">
        <v>36</v>
      </c>
      <c r="D11" s="4" t="s">
        <v>37</v>
      </c>
    </row>
    <row r="12" spans="1:8" ht="32" customHeight="1">
      <c r="A12" s="4" t="s">
        <v>38</v>
      </c>
      <c r="B12" s="6">
        <v>0.05</v>
      </c>
      <c r="C12" s="4" t="s">
        <v>39</v>
      </c>
      <c r="D12" s="4" t="s">
        <v>40</v>
      </c>
    </row>
    <row r="13" spans="1:8" ht="32" customHeight="1">
      <c r="A13" s="4" t="s">
        <v>41</v>
      </c>
      <c r="B13" s="6">
        <v>0.1</v>
      </c>
      <c r="C13" s="4" t="s">
        <v>39</v>
      </c>
      <c r="D13" s="4" t="s">
        <v>42</v>
      </c>
    </row>
    <row r="14" spans="1:8" ht="32" customHeight="1">
      <c r="A14" s="4" t="s">
        <v>43</v>
      </c>
      <c r="B14" s="6">
        <v>0.18</v>
      </c>
      <c r="C14" s="4" t="s">
        <v>39</v>
      </c>
      <c r="D14" s="4" t="s">
        <v>44</v>
      </c>
    </row>
    <row r="15" spans="1:8" ht="32" customHeight="1">
      <c r="A15" s="4" t="s">
        <v>45</v>
      </c>
      <c r="B15" s="5">
        <v>0.1</v>
      </c>
      <c r="C15" s="4" t="s">
        <v>46</v>
      </c>
      <c r="D15" s="4" t="s">
        <v>47</v>
      </c>
    </row>
    <row r="16" spans="1:8" ht="32" customHeight="1">
      <c r="A16" s="4" t="s">
        <v>48</v>
      </c>
      <c r="B16" s="5">
        <v>4</v>
      </c>
      <c r="C16" s="4" t="s">
        <v>49</v>
      </c>
      <c r="D16" s="4" t="s">
        <v>50</v>
      </c>
    </row>
    <row r="17" spans="1:4" ht="32" customHeight="1">
      <c r="A17" s="4" t="s">
        <v>51</v>
      </c>
      <c r="B17" s="5">
        <v>32000</v>
      </c>
      <c r="C17" s="4" t="s">
        <v>52</v>
      </c>
      <c r="D17" s="4" t="s">
        <v>53</v>
      </c>
    </row>
    <row r="18" spans="1:4" ht="32" customHeight="1">
      <c r="A18" s="4" t="s">
        <v>54</v>
      </c>
      <c r="B18" s="5">
        <v>9000</v>
      </c>
      <c r="C18" s="4" t="s">
        <v>52</v>
      </c>
      <c r="D18" s="4" t="s">
        <v>55</v>
      </c>
    </row>
    <row r="19" spans="1:4" ht="32" customHeight="1">
      <c r="A19" s="4" t="s">
        <v>56</v>
      </c>
      <c r="B19" s="5">
        <v>12000</v>
      </c>
      <c r="C19" s="4" t="s">
        <v>57</v>
      </c>
      <c r="D19" s="4" t="s">
        <v>58</v>
      </c>
    </row>
    <row r="20" spans="1:4" ht="32" customHeight="1">
      <c r="A20" s="4" t="s">
        <v>59</v>
      </c>
      <c r="B20" s="5">
        <v>80000</v>
      </c>
      <c r="C20" s="4" t="s">
        <v>60</v>
      </c>
      <c r="D20" s="4" t="s">
        <v>61</v>
      </c>
    </row>
    <row r="21" spans="1:4" ht="32" customHeight="1">
      <c r="A21" s="4" t="s">
        <v>62</v>
      </c>
      <c r="B21" s="5">
        <v>0.3</v>
      </c>
      <c r="C21" s="4" t="s">
        <v>63</v>
      </c>
      <c r="D21" s="4" t="s">
        <v>64</v>
      </c>
    </row>
    <row r="22" spans="1:4" ht="32" customHeight="1">
      <c r="A22" s="4" t="s">
        <v>65</v>
      </c>
      <c r="B22" s="5">
        <v>7000</v>
      </c>
      <c r="C22" s="4" t="s">
        <v>57</v>
      </c>
      <c r="D22" s="4" t="s">
        <v>66</v>
      </c>
    </row>
    <row r="23" spans="1:4" ht="32" customHeight="1">
      <c r="A23" s="4" t="s">
        <v>67</v>
      </c>
      <c r="B23" s="5">
        <v>5000</v>
      </c>
      <c r="C23" s="4" t="s">
        <v>68</v>
      </c>
      <c r="D23" s="4" t="s">
        <v>69</v>
      </c>
    </row>
    <row r="24" spans="1:4" ht="32" customHeight="1">
      <c r="A24" s="4" t="s">
        <v>70</v>
      </c>
      <c r="B24" s="5">
        <v>15000</v>
      </c>
      <c r="C24" s="4" t="s">
        <v>52</v>
      </c>
      <c r="D24" s="4" t="s">
        <v>71</v>
      </c>
    </row>
    <row r="25" spans="1:4" ht="32" customHeight="1">
      <c r="A25" s="4" t="s">
        <v>72</v>
      </c>
      <c r="B25" s="5">
        <v>7</v>
      </c>
      <c r="C25" s="4" t="s">
        <v>73</v>
      </c>
      <c r="D25" s="4" t="s">
        <v>74</v>
      </c>
    </row>
    <row r="26" spans="1:4" ht="32" customHeight="1">
      <c r="A26" s="4" t="s">
        <v>75</v>
      </c>
      <c r="B26" s="5">
        <v>8000</v>
      </c>
      <c r="C26" s="4" t="s">
        <v>57</v>
      </c>
      <c r="D26" s="4" t="s">
        <v>76</v>
      </c>
    </row>
    <row r="27" spans="1:4" ht="32" customHeight="1">
      <c r="A27" s="4" t="s">
        <v>77</v>
      </c>
      <c r="B27" s="5">
        <v>14</v>
      </c>
      <c r="C27" s="4" t="s">
        <v>73</v>
      </c>
      <c r="D27" s="4" t="s">
        <v>78</v>
      </c>
    </row>
    <row r="28" spans="1:4" ht="32" customHeight="1">
      <c r="A28" s="4" t="s">
        <v>79</v>
      </c>
      <c r="B28" s="5">
        <v>0.15</v>
      </c>
      <c r="C28" s="4" t="s">
        <v>63</v>
      </c>
      <c r="D28" s="4" t="s">
        <v>80</v>
      </c>
    </row>
  </sheetData>
  <mergeCells count="1">
    <mergeCell ref="A1:H1"/>
  </mergeCells>
  <dataValidations count="29">
    <dataValidation type="decimal" operator="greaterThanOrEqual" allowBlank="1" showInputMessage="1" showErrorMessage="1" sqref="B4">
      <formula1>0</formula1>
    </dataValidation>
    <dataValidation type="decimal" operator="greaterThanOrEqual" allowBlank="1" showInputMessage="1" showErrorMessage="1" sqref="B5">
      <formula1>0</formula1>
    </dataValidation>
    <dataValidation type="decimal" operator="greaterThanOrEqual" allowBlank="1" showInputMessage="1" showErrorMessage="1" sqref="B6">
      <formula1>0</formula1>
    </dataValidation>
    <dataValidation type="decimal" operator="greaterThanOrEqual" allowBlank="1" showInputMessage="1" showErrorMessage="1" sqref="B7">
      <formula1>0</formula1>
    </dataValidation>
    <dataValidation type="decimal" operator="greaterThanOrEqual" allowBlank="1" showInputMessage="1" showErrorMessage="1" sqref="B8">
      <formula1>0</formula1>
    </dataValidation>
    <dataValidation type="decimal" operator="greaterThanOrEqual" allowBlank="1" showInputMessage="1" showErrorMessage="1" sqref="B9">
      <formula1>0</formula1>
    </dataValidation>
    <dataValidation type="decimal" operator="greaterThanOrEqual" allowBlank="1" showInputMessage="1" showErrorMessage="1" sqref="B10">
      <formula1>0</formula1>
    </dataValidation>
    <dataValidation type="decimal" operator="greaterThanOrEqual" allowBlank="1" showInputMessage="1" showErrorMessage="1" sqref="B11">
      <formula1>0</formula1>
    </dataValidation>
    <dataValidation type="decimal" operator="greaterThanOrEqual" allowBlank="1" showInputMessage="1" showErrorMessage="1" sqref="B12">
      <formula1>0</formula1>
    </dataValidation>
    <dataValidation type="decimal" operator="greaterThanOrEqual" allowBlank="1" showInputMessage="1" showErrorMessage="1" sqref="B13">
      <formula1>0</formula1>
    </dataValidation>
    <dataValidation type="decimal" operator="greaterThanOrEqual" allowBlank="1" showInputMessage="1" showErrorMessage="1" sqref="B14">
      <formula1>0</formula1>
    </dataValidation>
    <dataValidation type="decimal" operator="greaterThanOrEqual" allowBlank="1" showInputMessage="1" showErrorMessage="1" sqref="B15">
      <formula1>0</formula1>
    </dataValidation>
    <dataValidation type="decimal" operator="greaterThanOrEqual" allowBlank="1" showInputMessage="1" showErrorMessage="1" sqref="B16">
      <formula1>0</formula1>
    </dataValidation>
    <dataValidation type="decimal" operator="greaterThanOrEqual" allowBlank="1" showInputMessage="1" showErrorMessage="1" sqref="B17">
      <formula1>0</formula1>
    </dataValidation>
    <dataValidation type="decimal" operator="greaterThanOrEqual" allowBlank="1" showInputMessage="1" showErrorMessage="1" sqref="B18">
      <formula1>0</formula1>
    </dataValidation>
    <dataValidation type="decimal" operator="greaterThanOrEqual" allowBlank="1" showInputMessage="1" showErrorMessage="1" sqref="B19">
      <formula1>0</formula1>
    </dataValidation>
    <dataValidation type="decimal" operator="greaterThanOrEqual" allowBlank="1" showInputMessage="1" showErrorMessage="1" sqref="B20">
      <formula1>0</formula1>
    </dataValidation>
    <dataValidation type="decimal" operator="greaterThanOrEqual" allowBlank="1" showInputMessage="1" showErrorMessage="1" sqref="B21">
      <formula1>0</formula1>
    </dataValidation>
    <dataValidation type="decimal" operator="greaterThanOrEqual" allowBlank="1" showInputMessage="1" showErrorMessage="1" sqref="B22">
      <formula1>0</formula1>
    </dataValidation>
    <dataValidation type="decimal" operator="greaterThanOrEqual" allowBlank="1" showInputMessage="1" showErrorMessage="1" sqref="B23">
      <formula1>0</formula1>
    </dataValidation>
    <dataValidation type="decimal" operator="greaterThanOrEqual" allowBlank="1" showInputMessage="1" showErrorMessage="1" sqref="B24">
      <formula1>0</formula1>
    </dataValidation>
    <dataValidation type="decimal" operator="greaterThanOrEqual" allowBlank="1" showInputMessage="1" showErrorMessage="1" sqref="B25">
      <formula1>0</formula1>
    </dataValidation>
    <dataValidation type="decimal" operator="greaterThanOrEqual" allowBlank="1" showInputMessage="1" showErrorMessage="1" sqref="B26">
      <formula1>0</formula1>
    </dataValidation>
    <dataValidation type="decimal" operator="greaterThanOrEqual" allowBlank="1" showInputMessage="1" showErrorMessage="1" sqref="B27">
      <formula1>0</formula1>
    </dataValidation>
    <dataValidation type="decimal" operator="greaterThanOrEqual" allowBlank="1" showInputMessage="1" showErrorMessage="1" sqref="B28">
      <formula1>0</formula1>
    </dataValidation>
    <dataValidation type="list" allowBlank="1" showInputMessage="1" showErrorMessage="1" sqref="B16">
      <formula1>"0,2,4,6,8"</formula1>
    </dataValidation>
    <dataValidation type="decimal" allowBlank="1" showInputMessage="1" showErrorMessage="1" sqref="B12">
      <formula1>0</formula1>
      <formula2>1</formula2>
    </dataValidation>
    <dataValidation type="decimal" allowBlank="1" showInputMessage="1" showErrorMessage="1" sqref="B14">
      <formula1>0</formula1>
      <formula2>1</formula2>
    </dataValidation>
    <dataValidation type="whole" operator="equal" allowBlank="1" showInputMessage="1" showErrorMessage="1" sqref="B5">
      <formula1>5</formula1>
    </dataValidation>
  </dataValidations>
  <pageMargins left="0.7" right="0.7" top="0.75" bottom="0.75" header="0.3" footer="0.3"/>
  <pageSetup paperSize="9" fitToHeight="0" orientation="landscape"/>
  <headerFooter>
    <oddFooter>&amp;LAssignment 1 | Illustrative assumptions&amp;RPage &amp;P of &amp;N</oddFooter>
  </headerFooter>
  <legacyDrawing r:id="rId1"/>
</worksheet>
</file>

<file path=xl/worksheets/sheet3.xml><?xml version="1.0" encoding="utf-8"?>
<worksheet xmlns="http://schemas.openxmlformats.org/spreadsheetml/2006/main" xmlns:r="http://schemas.openxmlformats.org/officeDocument/2006/relationships">
  <sheetPr>
    <pageSetUpPr fitToPage="1"/>
  </sheetPr>
  <dimension ref="A1:H31"/>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35.7109375" customWidth="1"/>
    <col min="2" max="8" width="19.7109375" customWidth="1"/>
  </cols>
  <sheetData>
    <row r="1" spans="1:8" ht="22" customHeight="1">
      <c r="A1" s="1" t="s">
        <v>90</v>
      </c>
      <c r="B1" s="1"/>
      <c r="C1" s="1"/>
      <c r="D1" s="1"/>
      <c r="E1" s="1"/>
      <c r="F1" s="1"/>
      <c r="G1" s="1"/>
      <c r="H1" s="1"/>
    </row>
    <row r="3" spans="1:8" ht="32" customHeight="1">
      <c r="A3" s="3" t="s">
        <v>91</v>
      </c>
      <c r="B3" s="3" t="s">
        <v>92</v>
      </c>
      <c r="C3" s="3" t="s">
        <v>93</v>
      </c>
    </row>
    <row r="4" spans="1:8" ht="31" customHeight="1">
      <c r="A4" s="4" t="s">
        <v>94</v>
      </c>
      <c r="B4" s="7">
        <f>Inputs!$B$8</f>
        <v>70000</v>
      </c>
      <c r="C4" s="7">
        <f>Inputs!$B$9</f>
        <v>70000</v>
      </c>
    </row>
    <row r="5" spans="1:8" ht="31" customHeight="1">
      <c r="A5" s="4" t="s">
        <v>95</v>
      </c>
      <c r="B5" s="7">
        <f>0</f>
        <v>0</v>
      </c>
      <c r="C5" s="7">
        <f>Inputs!$B$10</f>
        <v>30000</v>
      </c>
    </row>
    <row r="6" spans="1:8" ht="31" customHeight="1">
      <c r="A6" s="4" t="s">
        <v>96</v>
      </c>
      <c r="B6" s="7">
        <f>B4-B5</f>
        <v>70000</v>
      </c>
      <c r="C6" s="7">
        <f>C4-C5</f>
        <v>40000</v>
      </c>
    </row>
    <row r="7" spans="1:8" ht="31" customHeight="1">
      <c r="A7" s="4" t="s">
        <v>97</v>
      </c>
      <c r="B7" s="7">
        <f>B6/Inputs!$B$7</f>
        <v>7000</v>
      </c>
      <c r="C7" s="7">
        <f>C6/Inputs!$B$7</f>
        <v>4000</v>
      </c>
    </row>
    <row r="8" spans="1:8" ht="31" customHeight="1">
      <c r="A8" s="4" t="s">
        <v>98</v>
      </c>
      <c r="B8" s="7">
        <f>SUM(G18:G22)</f>
        <v>17398.866894456114</v>
      </c>
      <c r="C8" s="7">
        <f>SUM(G18:G22)</f>
        <v>17398.866894456114</v>
      </c>
    </row>
    <row r="9" spans="1:8" ht="31" customHeight="1">
      <c r="A9" s="4" t="s">
        <v>99</v>
      </c>
      <c r="B9" s="8">
        <f>B8/B7</f>
        <v>2.4855524134937306</v>
      </c>
      <c r="C9" s="8">
        <f>C8/C7</f>
        <v>4.349716723614028</v>
      </c>
    </row>
    <row r="10" spans="1:8" ht="31" customHeight="1">
      <c r="A10" s="4" t="s">
        <v>100</v>
      </c>
      <c r="B10" s="7">
        <f>B4/Inputs!$B$7</f>
        <v>7000</v>
      </c>
      <c r="C10" s="7">
        <f>C4/Inputs!$B$7</f>
        <v>7000</v>
      </c>
    </row>
    <row r="11" spans="1:8" ht="31" customHeight="1">
      <c r="A11" s="4" t="s">
        <v>101</v>
      </c>
      <c r="B11" s="8">
        <f>B8/B10</f>
        <v>2.4855524134937306</v>
      </c>
      <c r="C11" s="8">
        <f>C8/C10</f>
        <v>2.4855524134937306</v>
      </c>
    </row>
    <row r="13" spans="1:8" ht="22" customHeight="1">
      <c r="A13" s="4" t="s">
        <v>102</v>
      </c>
      <c r="B13" s="8">
        <f>Inputs!$B$16</f>
        <v>4</v>
      </c>
    </row>
    <row r="14" spans="1:8" ht="22" customHeight="1">
      <c r="A14" s="4" t="s">
        <v>103</v>
      </c>
      <c r="B14" s="9">
        <f>INDEX(Churn!B4:B8,MATCH(B13,Churn!A4:A8,0))</f>
        <v>0.12065760828641507</v>
      </c>
    </row>
    <row r="17" spans="1:8" ht="32" customHeight="1">
      <c r="A17" s="3" t="s">
        <v>104</v>
      </c>
      <c r="B17" s="3" t="s">
        <v>105</v>
      </c>
      <c r="C17" s="3" t="s">
        <v>106</v>
      </c>
      <c r="D17" s="3" t="s">
        <v>107</v>
      </c>
      <c r="E17" s="3" t="s">
        <v>108</v>
      </c>
      <c r="F17" s="3" t="s">
        <v>109</v>
      </c>
      <c r="G17" s="3" t="s">
        <v>110</v>
      </c>
    </row>
    <row r="18" spans="1:8" ht="22" customHeight="1">
      <c r="A18" s="8">
        <v>1</v>
      </c>
      <c r="B18" s="8">
        <f>Inputs!$B$6+A18-1</f>
        <v>2026</v>
      </c>
      <c r="C18" s="9">
        <f>(1-$B$14)^(A18-1)</f>
        <v>1.0</v>
      </c>
      <c r="D18" s="9">
        <f>(1-$B$14)^A18</f>
        <v>0.879342391713585</v>
      </c>
      <c r="E18" s="7">
        <f>Inputs!$B$11*(1-Inputs!$B$12)*C18</f>
        <v>5700.0</v>
      </c>
      <c r="F18" s="8">
        <f>1/(1+Inputs!$B$13)^A18</f>
        <v>0.9090909090909091</v>
      </c>
      <c r="G18" s="7">
        <f>E18*F18</f>
        <v>5181.818181818181</v>
      </c>
    </row>
    <row r="19" spans="1:8" ht="22" customHeight="1">
      <c r="A19" s="8">
        <v>2</v>
      </c>
      <c r="B19" s="8">
        <f>Inputs!$B$6+A19-1</f>
        <v>2027</v>
      </c>
      <c r="C19" s="9">
        <f>(1-$B$14)^(A19-1)</f>
        <v>0.879342391713585</v>
      </c>
      <c r="D19" s="9">
        <f>(1-$B$14)^A19</f>
        <v>0.7732430418645679</v>
      </c>
      <c r="E19" s="7">
        <f>Inputs!$B$11*(1-Inputs!$B$12)*C19</f>
        <v>5012.251632767434</v>
      </c>
      <c r="F19" s="8">
        <f>1/(1+Inputs!$B$13)^A19</f>
        <v>0.8264462809917354</v>
      </c>
      <c r="G19" s="7">
        <f>E19*F19</f>
        <v>4142.356721295399</v>
      </c>
    </row>
    <row r="20" spans="1:8" ht="22" customHeight="1">
      <c r="A20" s="8">
        <v>3</v>
      </c>
      <c r="B20" s="8">
        <f>Inputs!$B$6+A20-1</f>
        <v>2028</v>
      </c>
      <c r="C20" s="9">
        <f>(1-$B$14)^(A20-1)</f>
        <v>0.7732430418645679</v>
      </c>
      <c r="D20" s="9">
        <f>(1-$B$14)^A20</f>
        <v>0.6799453858090768</v>
      </c>
      <c r="E20" s="7">
        <f>Inputs!$B$11*(1-Inputs!$B$12)*C20</f>
        <v>4407.485338628037</v>
      </c>
      <c r="F20" s="8">
        <f>1/(1+Inputs!$B$13)^A20</f>
        <v>0.7513148009015775</v>
      </c>
      <c r="G20" s="7">
        <f>E20*F20</f>
        <v>3311.408969667946</v>
      </c>
    </row>
    <row r="21" spans="1:8" ht="22" customHeight="1">
      <c r="A21" s="8">
        <v>4</v>
      </c>
      <c r="B21" s="8">
        <f>Inputs!$B$6+A21-1</f>
        <v>2029</v>
      </c>
      <c r="C21" s="9">
        <f>(1-$B$14)^(A21-1)</f>
        <v>0.6799453858090768</v>
      </c>
      <c r="D21" s="9">
        <f>(1-$B$14)^A21</f>
        <v>0.5979048017919699</v>
      </c>
      <c r="E21" s="7">
        <f>Inputs!$B$11*(1-Inputs!$B$12)*C21</f>
        <v>3875.688699111738</v>
      </c>
      <c r="F21" s="8">
        <f>1/(1+Inputs!$B$13)^A21</f>
        <v>0.6830134553650705</v>
      </c>
      <c r="G21" s="7">
        <f>E21*F21</f>
        <v>2647.1475302996632</v>
      </c>
    </row>
    <row r="22" spans="1:8" ht="22" customHeight="1">
      <c r="A22" s="8">
        <v>5</v>
      </c>
      <c r="B22" s="8">
        <f>Inputs!$B$6+A22-1</f>
        <v>2030</v>
      </c>
      <c r="C22" s="9">
        <f>(1-$B$14)^(A22-1)</f>
        <v>0.5979048017919699</v>
      </c>
      <c r="D22" s="9">
        <f>(1-$B$14)^A22</f>
        <v>0.5257630384247878</v>
      </c>
      <c r="E22" s="7">
        <f>Inputs!$B$11*(1-Inputs!$B$12)*C22</f>
        <v>3408.0573702142287</v>
      </c>
      <c r="F22" s="8">
        <f>1/(1+Inputs!$B$13)^A22</f>
        <v>0.6209213230591549</v>
      </c>
      <c r="G22" s="7">
        <f>E22*F22</f>
        <v>2116.1354913749233</v>
      </c>
    </row>
    <row r="24" spans="1:8" ht="22" customHeight="1">
      <c r="A24" s="4" t="s">
        <v>111</v>
      </c>
      <c r="B24" s="7">
        <f>B8*(1-B14)</f>
        <v>15299.561228077353</v>
      </c>
    </row>
    <row r="27" spans="1:8" ht="25" customHeight="1">
      <c r="A27" s="2" t="s">
        <v>112</v>
      </c>
      <c r="B27" s="2"/>
      <c r="C27" s="2"/>
      <c r="D27" s="2"/>
      <c r="E27" s="2"/>
      <c r="F27" s="2"/>
      <c r="G27" s="2"/>
      <c r="H27" s="2"/>
    </row>
    <row r="28" spans="1:8" ht="25" customHeight="1">
      <c r="A28" s="2"/>
      <c r="B28" s="2"/>
      <c r="C28" s="2"/>
      <c r="D28" s="2"/>
      <c r="E28" s="2"/>
      <c r="F28" s="2"/>
      <c r="G28" s="2"/>
      <c r="H28" s="2"/>
    </row>
    <row r="30" spans="1:8" ht="25" customHeight="1">
      <c r="A30" s="2" t="s">
        <v>113</v>
      </c>
      <c r="B30" s="2"/>
      <c r="C30" s="2"/>
      <c r="D30" s="2"/>
      <c r="E30" s="2"/>
      <c r="F30" s="2"/>
      <c r="G30" s="2"/>
      <c r="H30" s="2"/>
    </row>
    <row r="31" spans="1:8" ht="25" customHeight="1">
      <c r="A31" s="2"/>
      <c r="B31" s="2"/>
      <c r="C31" s="2"/>
      <c r="D31" s="2"/>
      <c r="E31" s="2"/>
      <c r="F31" s="2"/>
      <c r="G31" s="2"/>
      <c r="H31" s="2"/>
    </row>
  </sheetData>
  <mergeCells count="3">
    <mergeCell ref="A1:H1"/>
    <mergeCell ref="A27:H28"/>
    <mergeCell ref="A30:H31"/>
  </mergeCells>
  <pageMargins left="0.7" right="0.7" top="0.75" bottom="0.75" header="0.3" footer="0.3"/>
  <pageSetup paperSize="9" fitToHeight="0" orientation="landscape"/>
  <headerFooter>
    <oddFooter>&amp;LAssignment 1 | Illustrative assumptions&amp;RPage &amp;P of &amp;N</oddFooter>
  </headerFooter>
</worksheet>
</file>

<file path=xl/worksheets/sheet4.xml><?xml version="1.0" encoding="utf-8"?>
<worksheet xmlns="http://schemas.openxmlformats.org/spreadsheetml/2006/main" xmlns:r="http://schemas.openxmlformats.org/officeDocument/2006/relationships">
  <sheetPr>
    <pageSetUpPr fitToPage="1"/>
  </sheetPr>
  <dimension ref="A1:H15"/>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35.7109375" customWidth="1"/>
    <col min="2" max="8" width="19.7109375" customWidth="1"/>
  </cols>
  <sheetData>
    <row r="1" spans="1:8" ht="22" customHeight="1">
      <c r="A1" s="1" t="s">
        <v>81</v>
      </c>
      <c r="B1" s="1"/>
      <c r="C1" s="1"/>
      <c r="D1" s="1"/>
      <c r="E1" s="1"/>
      <c r="F1" s="1"/>
      <c r="G1" s="1"/>
      <c r="H1" s="1"/>
    </row>
    <row r="3" spans="1:8" ht="32" customHeight="1">
      <c r="A3" s="3" t="s">
        <v>82</v>
      </c>
      <c r="B3" s="3" t="s">
        <v>83</v>
      </c>
      <c r="C3" s="3" t="s">
        <v>84</v>
      </c>
      <c r="D3" s="3" t="s">
        <v>85</v>
      </c>
      <c r="E3" s="3" t="s">
        <v>86</v>
      </c>
      <c r="F3" s="3" t="s">
        <v>87</v>
      </c>
    </row>
    <row r="4" spans="1:8" ht="22" customHeight="1">
      <c r="A4" s="8">
        <v>0</v>
      </c>
      <c r="B4" s="9">
        <f>Inputs!$B$14*EXP(-Inputs!$B$15*A4)</f>
        <v>0.18</v>
      </c>
      <c r="C4" s="9">
        <f>(1-B4)^Inputs!$B$5</f>
        <v>0.37073984320000014</v>
      </c>
      <c r="D4" s="7">
        <f>Inputs!$B$11*(1-Inputs!$B$12)*(1-B4)^0/(1+Inputs!$B$13)^1+Inputs!$B$11*(1-Inputs!$B$12)*(1-B4)^1/(1+Inputs!$B$13)^2+Inputs!$B$11*(1-Inputs!$B$12)*(1-B4)^2/(1+Inputs!$B$13)^3+Inputs!$B$11*(1-Inputs!$B$12)*(1-B4)^3/(1+Inputs!$B$13)^4+Inputs!$B$11*(1-Inputs!$B$12)*(1-B4)^4/(1+Inputs!$B$13)^5</f>
        <v>15670.922994579356</v>
      </c>
      <c r="E4" s="8">
        <f>D4/CAC_LTV!$B$7</f>
        <v>2.238703284939908</v>
      </c>
      <c r="F4" s="8">
        <f>D4/CAC_LTV!$C$7</f>
        <v>3.917730748644839</v>
      </c>
    </row>
    <row r="5" spans="1:8" ht="22" customHeight="1">
      <c r="A5" s="8">
        <v>2</v>
      </c>
      <c r="B5" s="9">
        <f>Inputs!$B$14*EXP(-Inputs!$B$15*A5)</f>
        <v>0.14737153555403673</v>
      </c>
      <c r="C5" s="9">
        <f>(1-B5)^Inputs!$B$5</f>
        <v>0.45060824707322883</v>
      </c>
      <c r="D5" s="7">
        <f>Inputs!$B$11*(1-Inputs!$B$12)*(1-B5)^0/(1+Inputs!$B$13)^1+Inputs!$B$11*(1-Inputs!$B$12)*(1-B5)^1/(1+Inputs!$B$13)^2+Inputs!$B$11*(1-Inputs!$B$12)*(1-B5)^2/(1+Inputs!$B$13)^3+Inputs!$B$11*(1-Inputs!$B$12)*(1-B5)^3/(1+Inputs!$B$13)^4+Inputs!$B$11*(1-Inputs!$B$12)*(1-B5)^4/(1+Inputs!$B$13)^5</f>
        <v>16595.216008856507</v>
      </c>
      <c r="E5" s="8">
        <f>D5/CAC_LTV!$B$7</f>
        <v>2.370745144122358</v>
      </c>
      <c r="F5" s="8">
        <f>D5/CAC_LTV!$C$7</f>
        <v>4.148804002214127</v>
      </c>
    </row>
    <row r="6" spans="1:8" ht="22" customHeight="1">
      <c r="A6" s="8">
        <v>4</v>
      </c>
      <c r="B6" s="9">
        <f>Inputs!$B$14*EXP(-Inputs!$B$15*A6)</f>
        <v>0.12065760828641507</v>
      </c>
      <c r="C6" s="9">
        <f>(1-B6)^Inputs!$B$5</f>
        <v>0.5257630384247878</v>
      </c>
      <c r="D6" s="7">
        <f>Inputs!$B$11*(1-Inputs!$B$12)*(1-B6)^0/(1+Inputs!$B$13)^1+Inputs!$B$11*(1-Inputs!$B$12)*(1-B6)^1/(1+Inputs!$B$13)^2+Inputs!$B$11*(1-Inputs!$B$12)*(1-B6)^2/(1+Inputs!$B$13)^3+Inputs!$B$11*(1-Inputs!$B$12)*(1-B6)^3/(1+Inputs!$B$13)^4+Inputs!$B$11*(1-Inputs!$B$12)*(1-B6)^4/(1+Inputs!$B$13)^5</f>
        <v>17398.866894456114</v>
      </c>
      <c r="E6" s="8">
        <f>D6/CAC_LTV!$B$7</f>
        <v>2.4855524134937306</v>
      </c>
      <c r="F6" s="8">
        <f>D6/CAC_LTV!$C$7</f>
        <v>4.349716723614028</v>
      </c>
    </row>
    <row r="7" spans="1:8" ht="22" customHeight="1">
      <c r="A7" s="8">
        <v>6</v>
      </c>
      <c r="B7" s="9">
        <f>Inputs!$B$14*EXP(-Inputs!$B$15*A7)</f>
        <v>0.09878609449692474</v>
      </c>
      <c r="C7" s="9">
        <f>(1-B7)^Inputs!$B$5</f>
        <v>0.594482973801952</v>
      </c>
      <c r="D7" s="7">
        <f>Inputs!$B$11*(1-Inputs!$B$12)*(1-B7)^0/(1+Inputs!$B$13)^1+Inputs!$B$11*(1-Inputs!$B$12)*(1-B7)^1/(1+Inputs!$B$13)^2+Inputs!$B$11*(1-Inputs!$B$12)*(1-B7)^2/(1+Inputs!$B$13)^3+Inputs!$B$11*(1-Inputs!$B$12)*(1-B7)^3/(1+Inputs!$B$13)^4+Inputs!$B$11*(1-Inputs!$B$12)*(1-B7)^4/(1+Inputs!$B$13)^5</f>
        <v>18089.67185412916</v>
      </c>
      <c r="E7" s="8">
        <f>D7/CAC_LTV!$B$7</f>
        <v>2.5842388363041655</v>
      </c>
      <c r="F7" s="8">
        <f>D7/CAC_LTV!$C$7</f>
        <v>4.522417963532289</v>
      </c>
    </row>
    <row r="8" spans="1:8" ht="22" customHeight="1">
      <c r="A8" s="8">
        <v>8</v>
      </c>
      <c r="B8" s="9">
        <f>Inputs!$B$14*EXP(-Inputs!$B$15*A8)</f>
        <v>0.08087921354109988</v>
      </c>
      <c r="C8" s="9">
        <f>(1-B8)^Inputs!$B$5</f>
        <v>0.6559382248806578</v>
      </c>
      <c r="D8" s="7">
        <f>Inputs!$B$11*(1-Inputs!$B$12)*(1-B8)^0/(1+Inputs!$B$13)^1+Inputs!$B$11*(1-Inputs!$B$12)*(1-B8)^1/(1+Inputs!$B$13)^2+Inputs!$B$11*(1-Inputs!$B$12)*(1-B8)^2/(1+Inputs!$B$13)^3+Inputs!$B$11*(1-Inputs!$B$12)*(1-B8)^3/(1+Inputs!$B$13)^4+Inputs!$B$11*(1-Inputs!$B$12)*(1-B8)^4/(1+Inputs!$B$13)^5</f>
        <v>18678.042437064752</v>
      </c>
      <c r="E8" s="8">
        <f>D8/CAC_LTV!$B$7</f>
        <v>2.668291776723536</v>
      </c>
      <c r="F8" s="8">
        <f>D8/CAC_LTV!$C$7</f>
        <v>4.669510609266188</v>
      </c>
    </row>
    <row r="11" spans="1:8" ht="25" customHeight="1">
      <c r="A11" s="2" t="s">
        <v>88</v>
      </c>
      <c r="B11" s="2"/>
      <c r="C11" s="2"/>
      <c r="D11" s="2"/>
      <c r="E11" s="2"/>
      <c r="F11" s="2"/>
      <c r="G11" s="2"/>
      <c r="H11" s="2"/>
    </row>
    <row r="12" spans="1:8" ht="25" customHeight="1">
      <c r="A12" s="2"/>
      <c r="B12" s="2"/>
      <c r="C12" s="2"/>
      <c r="D12" s="2"/>
      <c r="E12" s="2"/>
      <c r="F12" s="2"/>
      <c r="G12" s="2"/>
      <c r="H12" s="2"/>
    </row>
    <row r="14" spans="1:8" ht="25" customHeight="1">
      <c r="A14" s="2" t="s">
        <v>89</v>
      </c>
      <c r="B14" s="2"/>
      <c r="C14" s="2"/>
      <c r="D14" s="2"/>
      <c r="E14" s="2"/>
      <c r="F14" s="2"/>
      <c r="G14" s="2"/>
      <c r="H14" s="2"/>
    </row>
    <row r="15" spans="1:8" ht="25" customHeight="1">
      <c r="A15" s="2"/>
      <c r="B15" s="2"/>
      <c r="C15" s="2"/>
      <c r="D15" s="2"/>
      <c r="E15" s="2"/>
      <c r="F15" s="2"/>
      <c r="G15" s="2"/>
      <c r="H15" s="2"/>
    </row>
  </sheetData>
  <mergeCells count="3">
    <mergeCell ref="A1:H1"/>
    <mergeCell ref="A11:H12"/>
    <mergeCell ref="A14:H15"/>
  </mergeCells>
  <pageMargins left="0.7" right="0.7" top="0.75" bottom="0.75" header="0.3" footer="0.3"/>
  <pageSetup paperSize="9" fitToHeight="0" orientation="landscape"/>
  <headerFooter>
    <oddFooter>&amp;LAssignment 1 | Illustrative assumptions&amp;RPage &amp;P of &amp;N</oddFooter>
  </headerFooter>
</worksheet>
</file>

<file path=xl/worksheets/sheet5.xml><?xml version="1.0" encoding="utf-8"?>
<worksheet xmlns="http://schemas.openxmlformats.org/spreadsheetml/2006/main" xmlns:r="http://schemas.openxmlformats.org/officeDocument/2006/relationships">
  <sheetPr>
    <pageSetUpPr fitToPage="1"/>
  </sheetPr>
  <dimension ref="A1:H30"/>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35.7109375" customWidth="1"/>
    <col min="2" max="3" width="19.7109375" customWidth="1"/>
    <col min="4" max="4" width="60.7109375" customWidth="1"/>
    <col min="5" max="8" width="19.7109375" customWidth="1"/>
  </cols>
  <sheetData>
    <row r="1" spans="1:8" ht="22" customHeight="1">
      <c r="A1" s="1" t="s">
        <v>114</v>
      </c>
      <c r="B1" s="1"/>
      <c r="C1" s="1"/>
      <c r="D1" s="1"/>
      <c r="E1" s="1"/>
      <c r="F1" s="1"/>
      <c r="G1" s="1"/>
      <c r="H1" s="1"/>
    </row>
    <row r="3" spans="1:8" ht="32" customHeight="1">
      <c r="A3" s="3" t="s">
        <v>115</v>
      </c>
      <c r="B3" s="3" t="s">
        <v>116</v>
      </c>
      <c r="C3" s="3" t="s">
        <v>117</v>
      </c>
      <c r="D3" s="3" t="s">
        <v>118</v>
      </c>
    </row>
    <row r="4" spans="1:8" ht="32" customHeight="1">
      <c r="A4" s="4" t="s">
        <v>119</v>
      </c>
      <c r="B4" s="7">
        <f>Inputs!$B$17</f>
        <v>32000</v>
      </c>
      <c r="C4" s="7">
        <f>0</f>
        <v>0</v>
      </c>
      <c r="D4" s="4" t="s">
        <v>120</v>
      </c>
    </row>
    <row r="5" spans="1:8" ht="32" customHeight="1">
      <c r="A5" s="4" t="s">
        <v>121</v>
      </c>
      <c r="B5" s="7">
        <f>Inputs!$B$18</f>
        <v>9000</v>
      </c>
      <c r="C5" s="7">
        <f>Inputs!$B$24</f>
        <v>15000</v>
      </c>
      <c r="D5" s="4" t="s">
        <v>122</v>
      </c>
    </row>
    <row r="6" spans="1:8" ht="32" customHeight="1">
      <c r="A6" s="4" t="s">
        <v>123</v>
      </c>
      <c r="B6" s="7">
        <f>SUM(B4:B5)</f>
        <v>41000</v>
      </c>
      <c r="C6" s="7">
        <f>SUM(C4:C5)</f>
        <v>15000</v>
      </c>
      <c r="D6" s="4" t="s">
        <v>124</v>
      </c>
    </row>
    <row r="7" spans="1:8" ht="32" customHeight="1">
      <c r="A7" s="4" t="s">
        <v>125</v>
      </c>
      <c r="B7" s="7">
        <f>Inputs!$B$19</f>
        <v>12000</v>
      </c>
      <c r="C7" s="7">
        <f>Inputs!$B$4*Inputs!$B$25*12</f>
        <v>16800</v>
      </c>
      <c r="D7" s="4" t="s">
        <v>126</v>
      </c>
    </row>
    <row r="8" spans="1:8" ht="32" customHeight="1">
      <c r="A8" s="4" t="s">
        <v>127</v>
      </c>
      <c r="B8" s="7">
        <f>Inputs!$B$20*Inputs!$B$21</f>
        <v>24000</v>
      </c>
      <c r="C8" s="7">
        <f>Inputs!$B$26</f>
        <v>8000</v>
      </c>
      <c r="D8" s="4" t="s">
        <v>128</v>
      </c>
    </row>
    <row r="9" spans="1:8" ht="32" customHeight="1">
      <c r="A9" s="4" t="s">
        <v>129</v>
      </c>
      <c r="B9" s="7">
        <f>Inputs!$B$22</f>
        <v>7000</v>
      </c>
      <c r="C9" s="7">
        <f>0</f>
        <v>0</v>
      </c>
      <c r="D9" s="4" t="s">
        <v>130</v>
      </c>
    </row>
    <row r="10" spans="1:8" ht="32" customHeight="1">
      <c r="A10" s="4" t="s">
        <v>131</v>
      </c>
      <c r="B10" s="7">
        <f>Inputs!$B$23</f>
        <v>5000</v>
      </c>
      <c r="C10" s="7">
        <f>Inputs!$B$23</f>
        <v>5000</v>
      </c>
      <c r="D10" s="4" t="s">
        <v>132</v>
      </c>
    </row>
    <row r="11" spans="1:8" ht="32" customHeight="1">
      <c r="A11" s="4" t="s">
        <v>133</v>
      </c>
      <c r="B11" s="7">
        <f>SUM(B7:B10)</f>
        <v>48000</v>
      </c>
      <c r="C11" s="7">
        <f>SUM(C7:C10)</f>
        <v>29800</v>
      </c>
      <c r="D11" s="4" t="s">
        <v>134</v>
      </c>
    </row>
    <row r="12" spans="1:8" ht="32" customHeight="1">
      <c r="A12" s="4" t="s">
        <v>135</v>
      </c>
      <c r="B12" s="7">
        <f>B6+Inputs!$B$5*B11</f>
        <v>281000.0</v>
      </c>
      <c r="C12" s="7">
        <f>C6+Inputs!$B$5*C11</f>
        <v>164000</v>
      </c>
      <c r="D12" s="4" t="s">
        <v>136</v>
      </c>
    </row>
    <row r="14" spans="1:8" ht="22" customHeight="1">
      <c r="A14" s="4" t="s">
        <v>137</v>
      </c>
      <c r="B14" s="7">
        <f>B12-C12</f>
        <v>117000.0</v>
      </c>
    </row>
    <row r="15" spans="1:8" ht="22" customHeight="1">
      <c r="A15" s="4" t="s">
        <v>138</v>
      </c>
      <c r="B15" s="9">
        <f>B14/B12</f>
        <v>0.41637010676156583</v>
      </c>
    </row>
    <row r="18" spans="1:8" ht="32" customHeight="1">
      <c r="A18" s="3" t="s">
        <v>139</v>
      </c>
      <c r="B18" s="3" t="s">
        <v>92</v>
      </c>
      <c r="C18" s="3" t="s">
        <v>93</v>
      </c>
      <c r="D18" s="3" t="s">
        <v>140</v>
      </c>
      <c r="E18" s="3" t="s">
        <v>141</v>
      </c>
    </row>
    <row r="19" spans="1:8" ht="22" customHeight="1">
      <c r="A19" s="8">
        <v>2026</v>
      </c>
      <c r="B19" s="7">
        <f>$B$11+$B$6</f>
        <v>89000</v>
      </c>
      <c r="C19" s="7">
        <f>$C$11+$C$6</f>
        <v>44800</v>
      </c>
      <c r="D19" s="7">
        <f>SUM(B19:B19)</f>
        <v>89000</v>
      </c>
      <c r="E19" s="7">
        <f>SUM(C19:C19)</f>
        <v>44800</v>
      </c>
    </row>
    <row r="20" spans="1:8" ht="22" customHeight="1">
      <c r="A20" s="8">
        <v>2027</v>
      </c>
      <c r="B20" s="7">
        <f>$B$11</f>
        <v>48000</v>
      </c>
      <c r="C20" s="7">
        <f>$C$11</f>
        <v>29800</v>
      </c>
      <c r="D20" s="7">
        <f>SUM(B19:B20)</f>
        <v>137000</v>
      </c>
      <c r="E20" s="7">
        <f>SUM(C19:C20)</f>
        <v>74600</v>
      </c>
    </row>
    <row r="21" spans="1:8" ht="22" customHeight="1">
      <c r="A21" s="8">
        <v>2028</v>
      </c>
      <c r="B21" s="7">
        <f>$B$11</f>
        <v>48000</v>
      </c>
      <c r="C21" s="7">
        <f>$C$11</f>
        <v>29800</v>
      </c>
      <c r="D21" s="7">
        <f>SUM(B19:B21)</f>
        <v>185000</v>
      </c>
      <c r="E21" s="7">
        <f>SUM(C19:C21)</f>
        <v>104400</v>
      </c>
    </row>
    <row r="22" spans="1:8" ht="22" customHeight="1">
      <c r="A22" s="8">
        <v>2029</v>
      </c>
      <c r="B22" s="7">
        <f>$B$11</f>
        <v>48000</v>
      </c>
      <c r="C22" s="7">
        <f>$C$11</f>
        <v>29800</v>
      </c>
      <c r="D22" s="7">
        <f>SUM(B19:B22)</f>
        <v>233000</v>
      </c>
      <c r="E22" s="7">
        <f>SUM(C19:C22)</f>
        <v>134200</v>
      </c>
    </row>
    <row r="23" spans="1:8" ht="22" customHeight="1">
      <c r="A23" s="8">
        <v>2030</v>
      </c>
      <c r="B23" s="7">
        <f>$B$11</f>
        <v>48000</v>
      </c>
      <c r="C23" s="7">
        <f>$C$11</f>
        <v>29800</v>
      </c>
      <c r="D23" s="7">
        <f>SUM(B19:B23)</f>
        <v>281000</v>
      </c>
      <c r="E23" s="7">
        <f>SUM(C19:C23)</f>
        <v>164000</v>
      </c>
    </row>
    <row r="26" spans="1:8" ht="25" customHeight="1">
      <c r="A26" s="2" t="s">
        <v>142</v>
      </c>
      <c r="B26" s="2"/>
      <c r="C26" s="2"/>
      <c r="D26" s="2"/>
      <c r="E26" s="2"/>
      <c r="F26" s="2"/>
      <c r="G26" s="2"/>
      <c r="H26" s="2"/>
    </row>
    <row r="27" spans="1:8" ht="25" customHeight="1">
      <c r="A27" s="2"/>
      <c r="B27" s="2"/>
      <c r="C27" s="2"/>
      <c r="D27" s="2"/>
      <c r="E27" s="2"/>
      <c r="F27" s="2"/>
      <c r="G27" s="2"/>
      <c r="H27" s="2"/>
    </row>
    <row r="29" spans="1:8" ht="25" customHeight="1">
      <c r="A29" s="2" t="s">
        <v>143</v>
      </c>
      <c r="B29" s="2"/>
      <c r="C29" s="2"/>
      <c r="D29" s="2"/>
      <c r="E29" s="2"/>
      <c r="F29" s="2"/>
      <c r="G29" s="2"/>
      <c r="H29" s="2"/>
    </row>
    <row r="30" spans="1:8" ht="25" customHeight="1">
      <c r="A30" s="2"/>
      <c r="B30" s="2"/>
      <c r="C30" s="2"/>
      <c r="D30" s="2"/>
      <c r="E30" s="2"/>
      <c r="F30" s="2"/>
      <c r="G30" s="2"/>
      <c r="H30" s="2"/>
    </row>
  </sheetData>
  <mergeCells count="3">
    <mergeCell ref="A1:H1"/>
    <mergeCell ref="A26:H27"/>
    <mergeCell ref="A29:H30"/>
  </mergeCells>
  <pageMargins left="0.7" right="0.7" top="0.75" bottom="0.75" header="0.3" footer="0.3"/>
  <pageSetup paperSize="9" fitToHeight="0" orientation="landscape"/>
  <headerFooter>
    <oddFooter>&amp;LAssignment 1 | Illustrative assumptions&amp;RPage &amp;P of &amp;N</oddFooter>
  </headerFooter>
</worksheet>
</file>

<file path=xl/worksheets/sheet6.xml><?xml version="1.0" encoding="utf-8"?>
<worksheet xmlns="http://schemas.openxmlformats.org/spreadsheetml/2006/main" xmlns:r="http://schemas.openxmlformats.org/officeDocument/2006/relationships">
  <sheetPr>
    <pageSetUpPr fitToPage="1"/>
  </sheetPr>
  <dimension ref="A1:H16"/>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35.7109375" customWidth="1"/>
    <col min="2" max="8" width="19.7109375" customWidth="1"/>
  </cols>
  <sheetData>
    <row r="1" spans="1:8" ht="22" customHeight="1">
      <c r="A1" s="1" t="s">
        <v>144</v>
      </c>
      <c r="B1" s="1"/>
      <c r="C1" s="1"/>
      <c r="D1" s="1"/>
      <c r="E1" s="1"/>
      <c r="F1" s="1"/>
      <c r="G1" s="1"/>
      <c r="H1" s="1"/>
    </row>
    <row r="3" spans="1:8" ht="32" customHeight="1">
      <c r="A3" s="3" t="s">
        <v>145</v>
      </c>
      <c r="B3" s="3" t="s">
        <v>146</v>
      </c>
      <c r="C3" s="3" t="s">
        <v>147</v>
      </c>
      <c r="D3" s="3" t="s">
        <v>148</v>
      </c>
      <c r="E3" s="3" t="s">
        <v>149</v>
      </c>
      <c r="F3" s="3" t="s">
        <v>150</v>
      </c>
    </row>
    <row r="4" spans="1:8" ht="22" customHeight="1">
      <c r="A4" s="7">
        <f>Inputs!$B$25</f>
        <v>7</v>
      </c>
      <c r="B4" s="8">
        <f>Inputs!$B$21</f>
        <v>0.3</v>
      </c>
      <c r="C4" s="7">
        <f>Inputs!$B$17+Inputs!$B$18+Inputs!$B$5*(Inputs!$B$19+Inputs!$B$20*B4+Inputs!$B$22+Inputs!$B$23)</f>
        <v>281000.0</v>
      </c>
      <c r="D4" s="7">
        <f>Inputs!$B$24+Inputs!$B$5*(Inputs!$B$4*A4*12+Inputs!$B$26+Inputs!$B$23)</f>
        <v>164000</v>
      </c>
      <c r="E4" s="7">
        <f>C4-D4</f>
        <v>117000.0</v>
      </c>
      <c r="F4" s="4" t="str">
        <f>IF(E4&gt;0,"Google",IF(E4&lt;0,"Exchange","Tie"))</f>
        <v>Google</v>
      </c>
    </row>
    <row r="5" spans="1:8" ht="22" customHeight="1">
      <c r="A5" s="7">
        <f>Inputs!$B$25</f>
        <v>7</v>
      </c>
      <c r="B5" s="8">
        <f>Inputs!$B$28</f>
        <v>0.15</v>
      </c>
      <c r="C5" s="7">
        <f>Inputs!$B$17+Inputs!$B$18+Inputs!$B$5*(Inputs!$B$19+Inputs!$B$20*B5+Inputs!$B$22+Inputs!$B$23)</f>
        <v>221000.0</v>
      </c>
      <c r="D5" s="7">
        <f>Inputs!$B$24+Inputs!$B$5*(Inputs!$B$4*A5*12+Inputs!$B$26+Inputs!$B$23)</f>
        <v>164000</v>
      </c>
      <c r="E5" s="7">
        <f>C5-D5</f>
        <v>57000.0</v>
      </c>
      <c r="F5" s="4" t="str">
        <f>IF(E5&gt;0,"Google",IF(E5&lt;0,"Exchange","Tie"))</f>
        <v>Google</v>
      </c>
    </row>
    <row r="6" spans="1:8" ht="22" customHeight="1">
      <c r="A6" s="7">
        <f>Inputs!$B$27</f>
        <v>14</v>
      </c>
      <c r="B6" s="8">
        <f>Inputs!$B$21</f>
        <v>0.3</v>
      </c>
      <c r="C6" s="7">
        <f>Inputs!$B$17+Inputs!$B$18+Inputs!$B$5*(Inputs!$B$19+Inputs!$B$20*B6+Inputs!$B$22+Inputs!$B$23)</f>
        <v>281000.0</v>
      </c>
      <c r="D6" s="7">
        <f>Inputs!$B$24+Inputs!$B$5*(Inputs!$B$4*A6*12+Inputs!$B$26+Inputs!$B$23)</f>
        <v>248000</v>
      </c>
      <c r="E6" s="7">
        <f>C6-D6</f>
        <v>33000.0</v>
      </c>
      <c r="F6" s="4" t="str">
        <f>IF(E6&gt;0,"Google",IF(E6&lt;0,"Exchange","Tie"))</f>
        <v>Google</v>
      </c>
    </row>
    <row r="7" spans="1:8" ht="22" customHeight="1">
      <c r="A7" s="7">
        <f>Inputs!$B$27</f>
        <v>14</v>
      </c>
      <c r="B7" s="8">
        <f>Inputs!$B$28</f>
        <v>0.15</v>
      </c>
      <c r="C7" s="7">
        <f>Inputs!$B$17+Inputs!$B$18+Inputs!$B$5*(Inputs!$B$19+Inputs!$B$20*B7+Inputs!$B$22+Inputs!$B$23)</f>
        <v>221000.0</v>
      </c>
      <c r="D7" s="7">
        <f>Inputs!$B$24+Inputs!$B$5*(Inputs!$B$4*A7*12+Inputs!$B$26+Inputs!$B$23)</f>
        <v>248000</v>
      </c>
      <c r="E7" s="7">
        <f>C7-D7</f>
        <v>-27000.0</v>
      </c>
      <c r="F7" s="4" t="str">
        <f>IF(E7&gt;0,"Google",IF(E7&lt;0,"Exchange","Tie"))</f>
        <v>Exchange</v>
      </c>
    </row>
    <row r="10" spans="1:8" ht="32" customHeight="1">
      <c r="A10" s="3" t="s">
        <v>146</v>
      </c>
      <c r="B10" s="3" t="s">
        <v>151</v>
      </c>
      <c r="C10" s="3" t="s">
        <v>15</v>
      </c>
    </row>
    <row r="11" spans="1:8" ht="22" customHeight="1">
      <c r="A11" s="8">
        <f>Inputs!$B$21</f>
        <v>0.3</v>
      </c>
      <c r="B11" s="7">
        <f>(Inputs!$B$17+Inputs!$B$18+Inputs!$B$5*(Inputs!$B$19+Inputs!$B$20*A11+Inputs!$B$22+Inputs!$B$23)-Inputs!$B$24-Inputs!$B$5*(Inputs!$B$26+Inputs!$B$23))/(Inputs!$B$5*Inputs!$B$4*12)</f>
        <v>16.75</v>
      </c>
      <c r="C11" s="4" t="s">
        <v>73</v>
      </c>
    </row>
    <row r="12" spans="1:8" ht="22" customHeight="1">
      <c r="A12" s="8">
        <f>Inputs!$B$28</f>
        <v>0.15</v>
      </c>
      <c r="B12" s="7">
        <f>(Inputs!$B$17+Inputs!$B$18+Inputs!$B$5*(Inputs!$B$19+Inputs!$B$20*A12+Inputs!$B$22+Inputs!$B$23)-Inputs!$B$24-Inputs!$B$5*(Inputs!$B$26+Inputs!$B$23))/(Inputs!$B$5*Inputs!$B$4*12)</f>
        <v>11.75</v>
      </c>
      <c r="C12" s="4" t="s">
        <v>73</v>
      </c>
    </row>
    <row r="15" spans="1:8" ht="25" customHeight="1">
      <c r="A15" s="2" t="s">
        <v>152</v>
      </c>
      <c r="B15" s="2"/>
      <c r="C15" s="2"/>
      <c r="D15" s="2"/>
      <c r="E15" s="2"/>
      <c r="F15" s="2"/>
      <c r="G15" s="2"/>
      <c r="H15" s="2"/>
    </row>
    <row r="16" spans="1:8" ht="25" customHeight="1">
      <c r="A16" s="2"/>
      <c r="B16" s="2"/>
      <c r="C16" s="2"/>
      <c r="D16" s="2"/>
      <c r="E16" s="2"/>
      <c r="F16" s="2"/>
      <c r="G16" s="2"/>
      <c r="H16" s="2"/>
    </row>
  </sheetData>
  <mergeCells count="2">
    <mergeCell ref="A1:H1"/>
    <mergeCell ref="A15:H16"/>
  </mergeCells>
  <pageMargins left="0.7" right="0.7" top="0.75" bottom="0.75" header="0.3" footer="0.3"/>
  <pageSetup paperSize="9" fitToHeight="0" orientation="landscape"/>
  <headerFooter>
    <oddFooter>&amp;LAssignment 1 | Illustrative assumptions&amp;RPage &amp;P of &amp;N</oddFooter>
  </headerFooter>
</worksheet>
</file>

<file path=xl/worksheets/sheet7.xml><?xml version="1.0" encoding="utf-8"?>
<worksheet xmlns="http://schemas.openxmlformats.org/spreadsheetml/2006/main" xmlns:r="http://schemas.openxmlformats.org/officeDocument/2006/relationships">
  <sheetPr>
    <pageSetUpPr fitToPage="1"/>
  </sheetPr>
  <dimension ref="A1:H50"/>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35.7109375" customWidth="1"/>
    <col min="2" max="8" width="19.7109375" customWidth="1"/>
  </cols>
  <sheetData>
    <row r="1" spans="1:8" ht="22" customHeight="1">
      <c r="A1" s="1" t="s">
        <v>153</v>
      </c>
      <c r="B1" s="1"/>
      <c r="C1" s="1"/>
      <c r="D1" s="1"/>
      <c r="E1" s="1"/>
      <c r="F1" s="1"/>
      <c r="G1" s="1"/>
      <c r="H1" s="1"/>
    </row>
    <row r="49" spans="1:8" ht="25" customHeight="1">
      <c r="A49" s="2" t="s">
        <v>154</v>
      </c>
      <c r="B49" s="2"/>
      <c r="C49" s="2"/>
      <c r="D49" s="2"/>
      <c r="E49" s="2"/>
      <c r="F49" s="2"/>
      <c r="G49" s="2"/>
      <c r="H49" s="2"/>
    </row>
    <row r="50" spans="1:8" ht="25" customHeight="1">
      <c r="A50" s="2"/>
      <c r="B50" s="2"/>
      <c r="C50" s="2"/>
      <c r="D50" s="2"/>
      <c r="E50" s="2"/>
      <c r="F50" s="2"/>
      <c r="G50" s="2"/>
      <c r="H50" s="2"/>
    </row>
  </sheetData>
  <mergeCells count="2">
    <mergeCell ref="A1:H1"/>
    <mergeCell ref="A49:H50"/>
  </mergeCells>
  <pageMargins left="0.7" right="0.7" top="0.75" bottom="0.75" header="0.3" footer="0.3"/>
  <pageSetup paperSize="9" fitToHeight="0" orientation="landscape"/>
  <headerFooter>
    <oddFooter>&amp;LAssignment 1 | Illustrative assumptions&amp;RPage &amp;P of &amp;N</oddFooter>
  </headerFooter>
  <drawing r:id="rId1"/>
</worksheet>
</file>

<file path=xl/worksheets/sheet8.xml><?xml version="1.0" encoding="utf-8"?>
<worksheet xmlns="http://schemas.openxmlformats.org/spreadsheetml/2006/main" xmlns:r="http://schemas.openxmlformats.org/officeDocument/2006/relationships">
  <sheetPr>
    <pageSetUpPr fitToPage="1"/>
  </sheetPr>
  <dimension ref="A1:H20"/>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8.7109375" customWidth="1"/>
    <col min="2" max="2" width="22.7109375" customWidth="1"/>
    <col min="3" max="3" width="35.7109375" customWidth="1"/>
    <col min="4" max="7" width="52.7109375" customWidth="1"/>
    <col min="8" max="8" width="19.7109375" customWidth="1"/>
  </cols>
  <sheetData>
    <row r="1" spans="1:8" ht="22" customHeight="1">
      <c r="A1" s="1" t="s">
        <v>155</v>
      </c>
      <c r="B1" s="1"/>
      <c r="C1" s="1"/>
      <c r="D1" s="1"/>
      <c r="E1" s="1"/>
      <c r="F1" s="1"/>
      <c r="G1" s="1"/>
      <c r="H1" s="1"/>
    </row>
    <row r="3" spans="1:8" ht="32" customHeight="1">
      <c r="A3" s="3" t="s">
        <v>156</v>
      </c>
      <c r="B3" s="3" t="s">
        <v>157</v>
      </c>
      <c r="C3" s="3" t="s">
        <v>158</v>
      </c>
      <c r="D3" s="3" t="s">
        <v>159</v>
      </c>
      <c r="E3" s="3" t="s">
        <v>160</v>
      </c>
      <c r="F3" s="3" t="s">
        <v>161</v>
      </c>
      <c r="G3" s="3" t="s">
        <v>162</v>
      </c>
    </row>
    <row r="4" spans="1:8" ht="95" customHeight="1">
      <c r="A4" s="4" t="s">
        <v>163</v>
      </c>
      <c r="B4" s="4" t="s">
        <v>164</v>
      </c>
      <c r="C4" s="4" t="s">
        <v>165</v>
      </c>
      <c r="D4" s="4" t="s">
        <v>166</v>
      </c>
      <c r="E4" s="4" t="s">
        <v>167</v>
      </c>
      <c r="F4" s="4" t="s">
        <v>168</v>
      </c>
      <c r="G4" s="4"/>
    </row>
    <row r="5" spans="1:8" ht="95" customHeight="1">
      <c r="A5" s="4" t="s">
        <v>169</v>
      </c>
      <c r="B5" s="4" t="s">
        <v>170</v>
      </c>
      <c r="C5" s="4" t="s">
        <v>171</v>
      </c>
      <c r="D5" s="4" t="s">
        <v>172</v>
      </c>
      <c r="E5" s="4" t="s">
        <v>173</v>
      </c>
      <c r="F5" s="4" t="s">
        <v>174</v>
      </c>
      <c r="G5" s="4"/>
    </row>
    <row r="6" spans="1:8" ht="95" customHeight="1">
      <c r="A6" s="4" t="s">
        <v>175</v>
      </c>
      <c r="B6" s="4" t="s">
        <v>176</v>
      </c>
      <c r="C6" s="4" t="s">
        <v>177</v>
      </c>
      <c r="D6" s="4" t="s">
        <v>178</v>
      </c>
      <c r="E6" s="4" t="s">
        <v>179</v>
      </c>
      <c r="F6" s="4" t="s">
        <v>180</v>
      </c>
      <c r="G6" s="4"/>
    </row>
    <row r="7" spans="1:8" ht="95" customHeight="1">
      <c r="A7" s="4" t="s">
        <v>181</v>
      </c>
      <c r="B7" s="4" t="s">
        <v>182</v>
      </c>
      <c r="C7" s="4" t="s">
        <v>183</v>
      </c>
      <c r="D7" s="4" t="s">
        <v>184</v>
      </c>
      <c r="E7" s="4" t="s">
        <v>185</v>
      </c>
      <c r="F7" s="4" t="s">
        <v>186</v>
      </c>
      <c r="G7" s="4" t="s">
        <v>187</v>
      </c>
    </row>
    <row r="8" spans="1:8" ht="95" customHeight="1">
      <c r="A8" s="4" t="s">
        <v>188</v>
      </c>
      <c r="B8" s="4" t="s">
        <v>189</v>
      </c>
      <c r="C8" s="4" t="s">
        <v>190</v>
      </c>
      <c r="D8" s="4" t="s">
        <v>191</v>
      </c>
      <c r="E8" s="4" t="s">
        <v>192</v>
      </c>
      <c r="F8" s="4" t="s">
        <v>186</v>
      </c>
      <c r="G8" s="4" t="s">
        <v>193</v>
      </c>
    </row>
    <row r="9" spans="1:8" ht="95" customHeight="1">
      <c r="A9" s="4" t="s">
        <v>194</v>
      </c>
      <c r="B9" s="4" t="s">
        <v>195</v>
      </c>
      <c r="C9" s="4" t="s">
        <v>196</v>
      </c>
      <c r="D9" s="4" t="s">
        <v>197</v>
      </c>
      <c r="E9" s="4" t="s">
        <v>198</v>
      </c>
      <c r="F9" s="4" t="s">
        <v>186</v>
      </c>
      <c r="G9" s="4" t="s">
        <v>199</v>
      </c>
    </row>
    <row r="10" spans="1:8" ht="95" customHeight="1">
      <c r="A10" s="4" t="s">
        <v>200</v>
      </c>
      <c r="B10" s="4" t="s">
        <v>201</v>
      </c>
      <c r="C10" s="4" t="s">
        <v>202</v>
      </c>
      <c r="D10" s="4" t="s">
        <v>203</v>
      </c>
      <c r="E10" s="4" t="s">
        <v>204</v>
      </c>
      <c r="F10" s="4" t="s">
        <v>205</v>
      </c>
      <c r="G10" s="4"/>
    </row>
    <row r="11" spans="1:8" ht="95" customHeight="1">
      <c r="A11" s="4" t="s">
        <v>206</v>
      </c>
      <c r="B11" s="4" t="s">
        <v>207</v>
      </c>
      <c r="C11" s="4" t="s">
        <v>208</v>
      </c>
      <c r="D11" s="4" t="s">
        <v>209</v>
      </c>
      <c r="E11" s="4" t="s">
        <v>210</v>
      </c>
      <c r="F11" s="4" t="s">
        <v>211</v>
      </c>
      <c r="G11" s="4" t="s">
        <v>212</v>
      </c>
    </row>
    <row r="12" spans="1:8" ht="95" customHeight="1">
      <c r="A12" s="4" t="s">
        <v>213</v>
      </c>
      <c r="B12" s="4" t="s">
        <v>214</v>
      </c>
      <c r="C12" s="4" t="s">
        <v>215</v>
      </c>
      <c r="D12" s="4" t="s">
        <v>216</v>
      </c>
      <c r="E12" s="4" t="s">
        <v>217</v>
      </c>
      <c r="F12" s="4" t="s">
        <v>211</v>
      </c>
      <c r="G12" s="4" t="s">
        <v>218</v>
      </c>
    </row>
    <row r="13" spans="1:8" ht="95" customHeight="1">
      <c r="A13" s="4" t="s">
        <v>219</v>
      </c>
      <c r="B13" s="4" t="s">
        <v>220</v>
      </c>
      <c r="C13" s="4" t="s">
        <v>221</v>
      </c>
      <c r="D13" s="4" t="s">
        <v>222</v>
      </c>
      <c r="E13" s="4" t="s">
        <v>223</v>
      </c>
      <c r="F13" s="4" t="s">
        <v>224</v>
      </c>
      <c r="G13" s="4"/>
    </row>
    <row r="14" spans="1:8" ht="95" customHeight="1">
      <c r="A14" s="4" t="s">
        <v>225</v>
      </c>
      <c r="B14" s="4" t="s">
        <v>226</v>
      </c>
      <c r="C14" s="4" t="s">
        <v>227</v>
      </c>
      <c r="D14" s="4" t="s">
        <v>228</v>
      </c>
      <c r="E14" s="4" t="s">
        <v>229</v>
      </c>
      <c r="F14" s="4" t="s">
        <v>230</v>
      </c>
      <c r="G14" s="4"/>
    </row>
    <row r="15" spans="1:8" ht="95" customHeight="1">
      <c r="A15" s="4" t="s">
        <v>231</v>
      </c>
      <c r="B15" s="4" t="s">
        <v>232</v>
      </c>
      <c r="C15" s="4" t="s">
        <v>233</v>
      </c>
      <c r="D15" s="4" t="s">
        <v>234</v>
      </c>
      <c r="E15" s="4" t="s">
        <v>235</v>
      </c>
      <c r="F15" s="4" t="s">
        <v>236</v>
      </c>
      <c r="G15" s="4"/>
    </row>
    <row r="19" spans="1:8" ht="25" customHeight="1">
      <c r="A19" s="2" t="s">
        <v>237</v>
      </c>
      <c r="B19" s="2"/>
      <c r="C19" s="2"/>
      <c r="D19" s="2"/>
      <c r="E19" s="2"/>
      <c r="F19" s="2"/>
      <c r="G19" s="2"/>
      <c r="H19" s="2"/>
    </row>
    <row r="20" spans="1:8" ht="25" customHeight="1">
      <c r="A20" s="2"/>
      <c r="B20" s="2"/>
      <c r="C20" s="2"/>
      <c r="D20" s="2"/>
      <c r="E20" s="2"/>
      <c r="F20" s="2"/>
      <c r="G20" s="2"/>
      <c r="H20" s="2"/>
    </row>
  </sheetData>
  <mergeCells count="2">
    <mergeCell ref="A1:H1"/>
    <mergeCell ref="A19:H20"/>
  </mergeCells>
  <hyperlinks>
    <hyperlink ref="D4" r:id="rId1"/>
    <hyperlink ref="D5" r:id="rId2"/>
    <hyperlink ref="D6" r:id="rId3"/>
    <hyperlink ref="D7" r:id="rId4"/>
    <hyperlink ref="G7" r:id="rId5"/>
    <hyperlink ref="D8" r:id="rId6"/>
    <hyperlink ref="G8" r:id="rId7"/>
    <hyperlink ref="D9" r:id="rId8"/>
    <hyperlink ref="G9" r:id="rId9"/>
    <hyperlink ref="D10" r:id="rId10"/>
    <hyperlink ref="D11" r:id="rId11"/>
    <hyperlink ref="G11" r:id="rId12"/>
    <hyperlink ref="D12" r:id="rId13"/>
    <hyperlink ref="G12" r:id="rId14"/>
    <hyperlink ref="D13" r:id="rId15"/>
    <hyperlink ref="D14" r:id="rId16"/>
    <hyperlink ref="D15" r:id="rId17"/>
  </hyperlinks>
  <pageMargins left="0.7" right="0.7" top="0.75" bottom="0.75" header="0.3" footer="0.3"/>
  <pageSetup paperSize="9" fitToHeight="0" orientation="landscape"/>
  <headerFooter>
    <oddFooter>&amp;LAssignment 1 | Illustrative assumptions&amp;RPage &amp;P of &amp;N</oddFooter>
  </headerFooter>
</worksheet>
</file>

<file path=xl/worksheets/sheet9.xml><?xml version="1.0" encoding="utf-8"?>
<worksheet xmlns="http://schemas.openxmlformats.org/spreadsheetml/2006/main" xmlns:r="http://schemas.openxmlformats.org/officeDocument/2006/relationships">
  <sheetPr>
    <pageSetUpPr fitToPage="1"/>
  </sheetPr>
  <dimension ref="A1:H21"/>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22" customHeight="1"/>
  <cols>
    <col min="1" max="1" width="35.7109375" customWidth="1"/>
    <col min="2" max="2" width="19.7109375" customWidth="1"/>
    <col min="3" max="3" width="58.7109375" customWidth="1"/>
    <col min="4" max="8" width="19.7109375" customWidth="1"/>
  </cols>
  <sheetData>
    <row r="1" spans="1:8" ht="22" customHeight="1">
      <c r="A1" s="1" t="s">
        <v>238</v>
      </c>
      <c r="B1" s="1"/>
      <c r="C1" s="1"/>
      <c r="D1" s="1"/>
      <c r="E1" s="1"/>
      <c r="F1" s="1"/>
      <c r="G1" s="1"/>
      <c r="H1" s="1"/>
    </row>
    <row r="3" spans="1:8" ht="32" customHeight="1">
      <c r="A3" s="3" t="s">
        <v>239</v>
      </c>
      <c r="B3" s="3" t="s">
        <v>240</v>
      </c>
      <c r="C3" s="3" t="s">
        <v>241</v>
      </c>
    </row>
    <row r="4" spans="1:8" ht="35" customHeight="1">
      <c r="A4" s="4" t="s">
        <v>242</v>
      </c>
      <c r="B4" s="10" t="str">
        <f>IF(ABS(CAC_LTV!B7-7000)&lt;0.000001,"PASS","FAIL")</f>
        <v>PASS</v>
      </c>
      <c r="C4" s="4" t="s">
        <v>243</v>
      </c>
    </row>
    <row r="5" spans="1:8" ht="35" customHeight="1">
      <c r="A5" s="4" t="s">
        <v>244</v>
      </c>
      <c r="B5" s="10" t="str">
        <f>IF(ABS(CAC_LTV!C7-4000)&lt;0.000001,"PASS","FAIL")</f>
        <v>PASS</v>
      </c>
      <c r="C5" s="4" t="s">
        <v>245</v>
      </c>
    </row>
    <row r="6" spans="1:8" ht="35" customHeight="1">
      <c r="A6" s="4" t="s">
        <v>246</v>
      </c>
      <c r="B6" s="10" t="str">
        <f>IF(ABS(CAC_LTV!B14-0.18*EXP(-0.4))&lt;0.000000001,"PASS","FAIL")</f>
        <v>PASS</v>
      </c>
      <c r="C6" s="4" t="s">
        <v>247</v>
      </c>
    </row>
    <row r="7" spans="1:8" ht="35" customHeight="1">
      <c r="A7" s="4" t="s">
        <v>248</v>
      </c>
      <c r="B7" s="10" t="str">
        <f>IF(ABS(CAC_LTV!B8-17398.8668944561)&lt;0.00001,"PASS","FAIL")</f>
        <v>PASS</v>
      </c>
      <c r="C7" s="4" t="s">
        <v>249</v>
      </c>
    </row>
    <row r="8" spans="1:8" ht="35" customHeight="1">
      <c r="A8" s="4" t="s">
        <v>250</v>
      </c>
      <c r="B8" s="10" t="str">
        <f>IF(ABS(Churn!D6-CAC_LTV!B8)&lt;0.00001,"PASS","FAIL")</f>
        <v>PASS</v>
      </c>
      <c r="C8" s="4" t="s">
        <v>251</v>
      </c>
    </row>
    <row r="9" spans="1:8" ht="35" customHeight="1">
      <c r="A9" s="4" t="s">
        <v>252</v>
      </c>
      <c r="B9" s="10" t="str">
        <f>IF(ABS(TCO!B12-281000)&lt;0.00001,"PASS","FAIL")</f>
        <v>PASS</v>
      </c>
      <c r="C9" s="4" t="s">
        <v>253</v>
      </c>
    </row>
    <row r="10" spans="1:8" ht="35" customHeight="1">
      <c r="A10" s="4" t="s">
        <v>254</v>
      </c>
      <c r="B10" s="10" t="str">
        <f>IF(ABS(TCO!C12-164000)&lt;0.00001,"PASS","FAIL")</f>
        <v>PASS</v>
      </c>
      <c r="C10" s="4" t="s">
        <v>255</v>
      </c>
    </row>
    <row r="11" spans="1:8" ht="35" customHeight="1">
      <c r="A11" s="4" t="s">
        <v>256</v>
      </c>
      <c r="B11" s="10" t="str">
        <f>IF(AND(ABS(SUM(TCO!B19:B23)-TCO!B12)&lt;0.00001,ABS(SUM(TCO!C19:C23)-TCO!C12)&lt;0.00001),"PASS","FAIL")</f>
        <v>PASS</v>
      </c>
      <c r="C11" s="4" t="s">
        <v>257</v>
      </c>
    </row>
    <row r="12" spans="1:8" ht="35" customHeight="1">
      <c r="A12" s="4" t="s">
        <v>258</v>
      </c>
      <c r="B12" s="10" t="str">
        <f>IF(ABS(Sensitivity!E7+27000)&lt;0.00001,"PASS","FAIL")</f>
        <v>PASS</v>
      </c>
      <c r="C12" s="4" t="s">
        <v>259</v>
      </c>
    </row>
    <row r="13" spans="1:8" ht="35" customHeight="1">
      <c r="A13" s="4" t="s">
        <v>260</v>
      </c>
      <c r="B13" s="10" t="str">
        <f>IF(AND(Churn!B4&gt;Churn!B8,Churn!C4&lt;Churn!C8),"PASS","FAIL")</f>
        <v>PASS</v>
      </c>
      <c r="C13" s="4" t="s">
        <v>261</v>
      </c>
    </row>
    <row r="14" spans="1:8" ht="35" customHeight="1">
      <c r="A14" s="4" t="s">
        <v>262</v>
      </c>
      <c r="B14" s="10" t="str">
        <f>IF(ABS(CAC_LTV!G18-5700/1.1)&lt;0.00001,"PASS","FAIL")</f>
        <v>PASS</v>
      </c>
      <c r="C14" s="4" t="s">
        <v>263</v>
      </c>
    </row>
    <row r="15" spans="1:8" ht="35" customHeight="1">
      <c r="A15" s="4" t="s">
        <v>264</v>
      </c>
      <c r="B15" s="10" t="str">
        <f>IF(ABS(CAC_LTV!B24-CAC_LTV!B8*(1-CAC_LTV!B14))&lt;0.00001,"PASS","FAIL")</f>
        <v>PASS</v>
      </c>
      <c r="C15" s="4" t="s">
        <v>265</v>
      </c>
    </row>
    <row r="16" spans="1:8" ht="35" customHeight="1">
      <c r="A16" s="4" t="s">
        <v>266</v>
      </c>
      <c r="B16" s="10" t="str">
        <f>IF(AND(Inputs!$B$16=4,Inputs!$B$25=7,Inputs!$B$21=0.3,Inputs!$B$5=5),"PASS","CHANGED")</f>
        <v>PASS</v>
      </c>
      <c r="C16" s="4" t="s">
        <v>267</v>
      </c>
    </row>
    <row r="20" spans="1:8" ht="25" customHeight="1">
      <c r="A20" s="2" t="s">
        <v>268</v>
      </c>
      <c r="B20" s="2"/>
      <c r="C20" s="2"/>
      <c r="D20" s="2"/>
      <c r="E20" s="2"/>
      <c r="F20" s="2"/>
      <c r="G20" s="2"/>
      <c r="H20" s="2"/>
    </row>
    <row r="21" spans="1:8" ht="25" customHeight="1">
      <c r="A21" s="2"/>
      <c r="B21" s="2"/>
      <c r="C21" s="2"/>
      <c r="D21" s="2"/>
      <c r="E21" s="2"/>
      <c r="F21" s="2"/>
      <c r="G21" s="2"/>
      <c r="H21" s="2"/>
    </row>
  </sheetData>
  <mergeCells count="2">
    <mergeCell ref="A1:H1"/>
    <mergeCell ref="A20:H21"/>
  </mergeCells>
  <pageMargins left="0.7" right="0.7" top="0.75" bottom="0.75" header="0.3" footer="0.3"/>
  <pageSetup paperSize="9" fitToHeight="0" orientation="landscape"/>
  <headerFooter>
    <oddFooter>&amp;LAssignment 1 | Illustrative assumptions&amp;RPage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Guide</vt:lpstr>
      <vt:lpstr>Inputs</vt:lpstr>
      <vt:lpstr>CAC_LTV</vt:lpstr>
      <vt:lpstr>Churn</vt:lpstr>
      <vt:lpstr>TCO</vt:lpstr>
      <vt:lpstr>Sensitivity</vt:lpstr>
      <vt:lpstr>Charts</vt:lpstr>
      <vt:lpstr>Sources</vt:lpstr>
      <vt:lpstr>Checks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Assignment 1 — Exchange SE vs Google Workspace</dc:title>
  <dc:subject>Illustrative strategic and quantitative models, 2026–2030</dc:subject>
  <dc:creator>Student review draft</dc:creator>
  <dc:description>No vendor CAC, churn or cost observations are claimed.</dc:description>
  <cp:lastModifiedBy>Student review draft</cp:lastModifiedBy>
  <dcterms:created xsi:type="dcterms:W3CDTF">2026-10-16T08:16:58Z</dcterms:created>
  <dcterms:modified xsi:type="dcterms:W3CDTF">2026-10-16T08:16:58Z</dcterms:modified>
</cp:coreProperties>
</file>
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Inputs" sheetId="2" r:id="rId2"/>
    <sheet name="CAC_LTV" sheetId="3" r:id="rId3"/>
    <sheet name="Churn" sheetId="4" r:id="rId4"/>
    <sheet name="TCO" sheetId="5" r:id="rId5"/>
    <sheet name="Sensitivity" sheetId="6" r:id="rId6"/>
    <sheet name="Charts" sheetId="7" r:id="rId7"/>
    <sheet name="Sources" sheetId="8" r:id="rId8"/>
    <sheet name="Checks" sheetId="9" r:id="rId9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This assignment model has five explicit annual rows. Keep this input at 5; extend all year rows and formulas for a different horizon.</t>
        </r>
      </text>
    </comment>
  </commentList>
</comments>
</file>

<file path=xl/sharedStrings.xml><?xml version="1.0" encoding="utf-8"?>
<sst xmlns="http://schemas.openxmlformats.org/spreadsheetml/2006/main" count="295" uniqueCount="273">
  <si>
    <t>Assignment 1 | Model guide and scope</t>
  </si>
  <si>
    <t>Purpose: compare a hypothetical 200-user SME’s Exchange SE and Google Workspace options over 2026–2030, while separating supplier CAC/LTV from buyer TCO.</t>
  </si>
  <si>
    <t>All numeric commercial, cost, risk and churn inputs are ILLUSTRATIVE ASSUMPTIONS supplied or explicitly derived from the case. No vendor customer cohort or empirical fit is represented.</t>
  </si>
  <si>
    <t>Blue cells on Inputs are editable; other sheets use Excel formulas. Changing baseline n updates B1 through the Churn sheet. Charts on Charts update with their linked data.</t>
  </si>
  <si>
    <t>LTV timing: an account active at the start of a year earns that year’s contribution; churn occurs at year-end. Cash is discounted at year-end. Thus survival exponent is t−1, not t.</t>
  </si>
  <si>
    <t>Risk loss is a 5% haircut to contribution, not a second churn probability. Annual churn is independent and held constant within each scenario; no terminal value is used.</t>
  </si>
  <si>
    <t>Cross-subsidy is a hypothetical USD 30,000 credit against USD 70,000 gross acquisition spending. Net allocated CAC falls, but ecosystem-wide resource cost remains USD 7,000/account. No actual Google transfer is claimed.</t>
  </si>
  <si>
    <t>TCO: nominal USD cash costs, opening-2026 one-off payments, five annual recurring payments. 200 seats, fixed prices, no tax/inflation/discount, zero residual value. Common connectivity and endpoints are excluded equally.</t>
  </si>
  <si>
    <t>Sensitivity varies only Google subscription price and Exchange FTE at USD 80,000/FTE/year. A USD 14 plan is a cost stress, not an assertion of equal plan features.</t>
  </si>
  <si>
    <t>Sources maps the official documentation to specific claims and records publication/revision dates. Licensing, staffing and hardware inputs are planning assumptions; procurement requires current entitlements and comparable quotations.</t>
  </si>
  <si>
    <t>Readiness: see Checks. Cached values are included; open in Excel/LibreOffice to recalculate after changing inputs. External PNG/PDF/SVG figures represent the original baseline and do not auto-refresh.</t>
  </si>
  <si>
    <t>Submission: student must review all reasoning and citations, add identification as required, complete VeriGuide and the institution’s Signed Declaration, attach authentic evidence and submit via Blackboard.</t>
  </si>
  <si>
    <t>Inputs | All numbers are illustrative assumptions</t>
  </si>
  <si>
    <t>Parameter</t>
  </si>
  <si>
    <t>Value</t>
  </si>
  <si>
    <t>Units</t>
  </si>
  <si>
    <t>Definition / boundary</t>
  </si>
  <si>
    <t>employees</t>
  </si>
  <si>
    <t>users</t>
  </si>
  <si>
    <t>Constant licensed users, 2026-2030.</t>
  </si>
  <si>
    <t>years</t>
  </si>
  <si>
    <t>Finite operational horizon; no terminal value.</t>
  </si>
  <si>
    <t>first_year</t>
  </si>
  <si>
    <t>year</t>
  </si>
  <si>
    <t>Cash costs start at opening of 2026.</t>
  </si>
  <si>
    <t>clients</t>
  </si>
  <si>
    <t>enterprise accounts</t>
  </si>
  <si>
    <t>Each supplier acquires this many accounts.</t>
  </si>
  <si>
    <t>exchange_acq</t>
  </si>
  <si>
    <t>USD</t>
  </si>
  <si>
    <t>Illustrative gross/net acquisition budget.</t>
  </si>
  <si>
    <t>google_gross_acq</t>
  </si>
  <si>
    <t>Hypothetical common gross campaign cost.</t>
  </si>
  <si>
    <t>ecosystem_credit</t>
  </si>
  <si>
    <t>Illustrative adjacent-business funding; allocation only.</t>
  </si>
  <si>
    <t>annual_gp</t>
  </si>
  <si>
    <t>USD/account/year</t>
  </si>
  <si>
    <t>Standardized contribution before operating-risk haircut.</t>
  </si>
  <si>
    <t>risk_loss</t>
  </si>
  <si>
    <t>fraction/year</t>
  </si>
  <si>
    <t>Expected contribution loss, distinct from churn.</t>
  </si>
  <si>
    <t>discount</t>
  </si>
  <si>
    <t>Annual end-of-year discount rate.</t>
  </si>
  <si>
    <t>churn_base</t>
  </si>
  <si>
    <t>Illustrative churn at n=0; not fitted to data.</t>
  </si>
  <si>
    <t>churn_beta</t>
  </si>
  <si>
    <t>per integration</t>
  </si>
  <si>
    <t>Illustrative exponential decay coefficient.</t>
  </si>
  <si>
    <t>base_n</t>
  </si>
  <si>
    <t>integrations</t>
  </si>
  <si>
    <t>Baseline active material API/workflow integrations.</t>
  </si>
  <si>
    <t>hardware</t>
  </si>
  <si>
    <t>USD, once</t>
  </si>
  <si>
    <t>Two servers plus storage; planning allowance.</t>
  </si>
  <si>
    <t>deployment</t>
  </si>
  <si>
    <t>Exchange implementation at opening of 2026.</t>
  </si>
  <si>
    <t>licensing</t>
  </si>
  <si>
    <t>USD/year</t>
  </si>
  <si>
    <t>Exchange/SA and underlying OS/CAL allowance; quote needed.</t>
  </si>
  <si>
    <t>loaded_fte</t>
  </si>
  <si>
    <t>USD/FTE/year</t>
  </si>
  <si>
    <t>Implied by USD 24,000 at 0.30 FTE.</t>
  </si>
  <si>
    <t>exchange_fte</t>
  </si>
  <si>
    <t>FTE</t>
  </si>
  <si>
    <t>Baseline incremental annual administration.</t>
  </si>
  <si>
    <t>facilities</t>
  </si>
  <si>
    <t>Incremental on-premises facilities/network/maintenance.</t>
  </si>
  <si>
    <t>backup</t>
  </si>
  <si>
    <t>USD/year/option</t>
  </si>
  <si>
    <t>Incremental backup and security in both options.</t>
  </si>
  <si>
    <t>migration</t>
  </si>
  <si>
    <t>Cloud migration and training at opening of 2026.</t>
  </si>
  <si>
    <t>google_price</t>
  </si>
  <si>
    <t>USD/user/month</t>
  </si>
  <si>
    <t>Illustrative flat 2026-2030 scenario; not a current quote.</t>
  </si>
  <si>
    <t>google_admin</t>
  </si>
  <si>
    <t>Cloud administration allowance.</t>
  </si>
  <si>
    <t>stress_price</t>
  </si>
  <si>
    <t>Higher-subscription sensitivity scenario.</t>
  </si>
  <si>
    <t>low_fte</t>
  </si>
  <si>
    <t>Lower on-premises staffing sensitivity scenario.</t>
  </si>
  <si>
    <t>B2 | Integration scenarios and retained customers</t>
  </si>
  <si>
    <t>n (count)</t>
  </si>
  <si>
    <t>Annual churn</t>
  </si>
  <si>
    <t>End-2030 retention</t>
  </si>
  <si>
    <t>5-year LTV (USD)</t>
  </si>
  <si>
    <t>Exchange LTV/CAC</t>
  </si>
  <si>
    <t>Google LTV/CAC</t>
  </si>
  <si>
    <t>Scenarios are alternative integration counts, not successive calendar years. Within each scenario, churn and n remain constant through 2026–2030. Retention=(1−c)^5, conditional on presence at opening-2026.</t>
  </si>
  <si>
    <t>No causal estimate is claimed. Data quality, usability, customer mix and portability could change the sign or magnitude of an observed relationship. API availability alone does not prove retention.</t>
  </si>
  <si>
    <t>B1 | Supplier-level CAC and risk-adjusted LTV</t>
  </si>
  <si>
    <t>Metric</t>
  </si>
  <si>
    <t>Exchange SE</t>
  </si>
  <si>
    <t>Google Workspace</t>
  </si>
  <si>
    <t>Gross acquisition spending</t>
  </si>
  <si>
    <t>Ecosystem funding credit</t>
  </si>
  <si>
    <t>Net allocated acquisition cost</t>
  </si>
  <si>
    <t>CAC per acquired account</t>
  </si>
  <si>
    <t>5-year risk-adjusted LTV</t>
  </si>
  <si>
    <t>LTV / net allocated CAC</t>
  </si>
  <si>
    <t>Gross resource CAC (no funding credit)</t>
  </si>
  <si>
    <t>LTV / gross resource CAC</t>
  </si>
  <si>
    <t>Selected baseline n</t>
  </si>
  <si>
    <t>Linked baseline annual churn</t>
  </si>
  <si>
    <t>Year t</t>
  </si>
  <si>
    <t>Calendar year</t>
  </si>
  <si>
    <t>Start-year survival</t>
  </si>
  <si>
    <t>End-year retention</t>
  </si>
  <si>
    <t>Risk-adjusted GP</t>
  </si>
  <si>
    <t>Discount factor</t>
  </si>
  <si>
    <t>Present value</t>
  </si>
  <si>
    <t>Alternative timing LTV</t>
  </si>
  <si>
    <t>The report presents the formal LTV equation. This sheet sums five discounted annual contributions, weighted by start-year survival. Alternative timing requires survival through year 1; neither convention includes a terminal value.</t>
  </si>
  <si>
    <t>Funding credit changes the cost assigned to the focal product, not total ecosystem resource use. This is a transparent hypothetical cross-subsidy mechanism, not observed Google or Microsoft financial performance.</t>
  </si>
  <si>
    <t>B3 | Buyer-level nominal cash costs, 2026–2030</t>
  </si>
  <si>
    <t>Cash cost category</t>
  </si>
  <si>
    <t>Exchange SE (USD)</t>
  </si>
  <si>
    <t>Google (USD)</t>
  </si>
  <si>
    <t>Timing / scope</t>
  </si>
  <si>
    <t>Hardware / storage</t>
  </si>
  <si>
    <t>Opening-2026; zero residual value</t>
  </si>
  <si>
    <t>Deployment / migration</t>
  </si>
  <si>
    <t>Opening-2026; cloud includes training</t>
  </si>
  <si>
    <t>Total one-off</t>
  </si>
  <si>
    <t>Do not add again to recurring expenses</t>
  </si>
  <si>
    <t>Licensing / subscriptions</t>
  </si>
  <si>
    <t>Annual; illustrative licensing allowance / price</t>
  </si>
  <si>
    <t>Administration</t>
  </si>
  <si>
    <t>Annual; USD 80,000/FTE/year for Exchange</t>
  </si>
  <si>
    <t>Facilities/network/maintenance</t>
  </si>
  <si>
    <t>Annual incremental on-premises allowance</t>
  </si>
  <si>
    <t>Backup / added security</t>
  </si>
  <si>
    <t>Annual incremental control allowance</t>
  </si>
  <si>
    <t>Total annual recurring</t>
  </si>
  <si>
    <t>Five recurring payments</t>
  </si>
  <si>
    <t>Five-year TCO</t>
  </si>
  <si>
    <t>Nominal USD; no discounting</t>
  </si>
  <si>
    <t>Google savings (USD)</t>
  </si>
  <si>
    <t>Savings / Exchange TCO</t>
  </si>
  <si>
    <t>Cash year</t>
  </si>
  <si>
    <t>Cumulative Exchange</t>
  </si>
  <si>
    <t>Cumulative Google</t>
  </si>
  <si>
    <t>The two-server allowance is a cost scenario, not a validated resilient architecture. Existing directory/DNS capacity is assumed reusable. Required OS/CAL/SE entitlements and backup design must be checked with current official terms and a reseller quote.</t>
  </si>
  <si>
    <t>Excluded symmetrically: common endpoints/internet, tax, inflation, financing, productivity valuation and outage losses. No hardware refresh or decommissioning cost is modeled; prices and users stay constant. Feature equivalence and regulatory suitability are not established.</t>
  </si>
  <si>
    <t>Sensitivity | Two-variable cost reversal test</t>
  </si>
  <si>
    <t>Google USD/user/month</t>
  </si>
  <si>
    <t>Exchange FTE</t>
  </si>
  <si>
    <t>Exchange TCO</t>
  </si>
  <si>
    <t>Google TCO</t>
  </si>
  <si>
    <t>Google savings</t>
  </si>
  <si>
    <t>Preferred by cost</t>
  </si>
  <si>
    <t>Break-even Google price</t>
  </si>
  <si>
    <t>Positive savings favour Google. At USD 14/user/month and 0.15 Exchange FTE, Exchange is USD 27,000 cheaper. This does not prove either plan meets the same functional or compliance requirements.</t>
  </si>
  <si>
    <t>Figures | Linked Excel charts</t>
  </si>
  <si>
    <t>Baseline TCO: USD 7/user/month and 0.30 Exchange FTE. The line chart uses integration scenarios, not calendar time. External figure files are static exports of the initial baseline.</t>
  </si>
  <si>
    <t>Official sources | Claim mapping and access audit</t>
  </si>
  <si>
    <t>ID</t>
  </si>
  <si>
    <t>Organization / date</t>
  </si>
  <si>
    <t>Title</t>
  </si>
  <si>
    <t>Official URL</t>
  </si>
  <si>
    <t>Supported use</t>
  </si>
  <si>
    <t>Verification status</t>
  </si>
  <si>
    <t>Official GitHub source</t>
  </si>
  <si>
    <t>Citation date basis</t>
  </si>
  <si>
    <t>G1</t>
  </si>
  <si>
    <t>Google (2006)</t>
  </si>
  <si>
    <t>Get your people talking</t>
  </si>
  <si>
    <t>https://googleblog.blogspot.com/2006/08/get-your-people-talking.html</t>
  </si>
  <si>
    <t>Historical entry into hosted enterprise applications in 2006.</t>
  </si>
  <si>
    <t>VERIFIED: original official announcement retrieved; dated 28 August 2006.</t>
  </si>
  <si>
    <t>2006-08-28 — Date displayed on the original announcement</t>
  </si>
  <si>
    <t>G2</t>
  </si>
  <si>
    <t>Google (n.d.)</t>
  </si>
  <si>
    <t>Google Workspace pricing</t>
  </si>
  <si>
    <t>https://workspace.google.com/pricing.html</t>
  </si>
  <si>
    <t>Current suite scope and annual-commitment price context; flat five-year USD 7/14 inputs remain illustrative assumptions.</t>
  </si>
  <si>
    <t>VERIFIED: official pricing page retrieved. Annual-commitment standard USD 7/14 displayed, with separate promotions; five-year flat prices remain assumptions.</t>
  </si>
  <si>
    <t>Undated — No publication/revision date displayed</t>
  </si>
  <si>
    <t>G3</t>
  </si>
  <si>
    <t>Google (2025)</t>
  </si>
  <si>
    <t>Google Workspace Marketplace</t>
  </si>
  <si>
    <t>https://developers.google.com/workspace/marketplace</t>
  </si>
  <si>
    <t>Third-party app distribution and integration ecosystem; no installed-base or network-effect estimate.</t>
  </si>
  <si>
    <t>VERIFIED: official Marketplace overview retrieved; third-party apps and add-on publishing documented.</t>
  </si>
  <si>
    <t>2025-09-26 — Displayed last-updated date</t>
  </si>
  <si>
    <t>G4</t>
  </si>
  <si>
    <t>Google (2026b)</t>
  </si>
  <si>
    <t>Gmail API: Python quickstart</t>
  </si>
  <si>
    <t>https://developers.google.com/workspace/gmail/api/quickstart/python</t>
  </si>
  <si>
    <t>OAuth scopes, credentials and Gmail label-list API in official sample.</t>
  </si>
  <si>
    <t>VERIFIED: official developer page and official GitHub source both retrieved.</t>
  </si>
  <si>
    <t>https://raw.githubusercontent.com/googleworkspace/python-samples/main/gmail/quickstart/quickstart.py</t>
  </si>
  <si>
    <t>2026-10-12 — Displayed last-updated date</t>
  </si>
  <si>
    <t>G5</t>
  </si>
  <si>
    <t>Google (2026a)</t>
  </si>
  <si>
    <t>Admin SDK Directory API: Python quickstart</t>
  </si>
  <si>
    <t>https://developers.google.com/workspace/admin/directory/v1/quickstart/python</t>
  </si>
  <si>
    <t>Directory user-list API, OAuth scope and credential dependency.</t>
  </si>
  <si>
    <t>https://raw.githubusercontent.com/googleworkspace/python-samples/main/admin_sdk/directory/quickstart.py</t>
  </si>
  <si>
    <t>G6</t>
  </si>
  <si>
    <t>Google (2026c)</t>
  </si>
  <si>
    <t>Google Drive API: Python quickstart</t>
  </si>
  <si>
    <t>https://developers.google.com/workspace/drive/api/quickstart/python</t>
  </si>
  <si>
    <t>Drive file metadata access through a scoped API; not proof of full-fidelity migration.</t>
  </si>
  <si>
    <t>https://raw.githubusercontent.com/googleworkspace/python-samples/main/drive/quickstart/quickstart.py</t>
  </si>
  <si>
    <t>M2</t>
  </si>
  <si>
    <t>Microsoft (2026a)</t>
  </si>
  <si>
    <t>New-Mailbox (ExchangePowerShell)</t>
  </si>
  <si>
    <t>https://learn.microsoft.com/powershell/module/exchangepowershell/new-mailbox</t>
  </si>
  <si>
    <t>Official applicability lists both Exchange Server SE and Exchange Online; mailbox and user-account creation.</t>
  </si>
  <si>
    <t>Official Microsoft Learn page and MicrosoftDocs source reviewed.</t>
  </si>
  <si>
    <t>https://raw.githubusercontent.com/MicrosoftDocs/office-docs-powershell/main/exchange/exchange-ps/ExchangePowerShell/New-Mailbox.md</t>
  </si>
  <si>
    <t>2026-05-16 — Revision date in official page updated_at metadata</t>
  </si>
  <si>
    <t>M3</t>
  </si>
  <si>
    <t>Microsoft (2026b)</t>
  </si>
  <si>
    <t>New-MigrationBatch (ExchangePowerShell)</t>
  </si>
  <si>
    <t>https://learn.microsoft.com/powershell/module/exchangepowershell/new-migrationbatch</t>
  </si>
  <si>
    <t>Batched migration requests, endpoints and environment-specific parameters.</t>
  </si>
  <si>
    <t>https://raw.githubusercontent.com/MicrosoftDocs/office-docs-powershell/main/exchange/exchange-ps/ExchangePowerShell/New-MigrationBatch.md</t>
  </si>
  <si>
    <t>2026-05-28 — Revision date in official page updated_at metadata</t>
  </si>
  <si>
    <t>M4</t>
  </si>
  <si>
    <t>Microsoft (2025a)</t>
  </si>
  <si>
    <t>Exchange Online service description</t>
  </si>
  <si>
    <t>https://learn.microsoft.com/en-us/office365/servicedescriptions/exchange-online-service-description/exchange-online-service-description</t>
  </si>
  <si>
    <t>Exchange Online as the procurement comparator; current price/features not asserted.</t>
  </si>
  <si>
    <t>Official Microsoft Learn service description reviewed; Exchange Online price is outside the quantified scenario.</t>
  </si>
  <si>
    <t>2025-12-09 — Displayed last-updated date</t>
  </si>
  <si>
    <t>M5</t>
  </si>
  <si>
    <t>Microsoft (2025b)</t>
  </si>
  <si>
    <t>Exchange Server architecture</t>
  </si>
  <si>
    <t>https://learn.microsoft.com/en-us/exchange/architecture/architecture?view=exchserver-2019</t>
  </si>
  <si>
    <t>Exchange Mailbox server architecture and administration; the page applies to Subscription Edition.</t>
  </si>
  <si>
    <t>VERIFIED: official Learn architecture page retrieved; current page applies to Subscription Edition.</t>
  </si>
  <si>
    <t>2025-04-02 — Displayed last-updated date</t>
  </si>
  <si>
    <t>M6</t>
  </si>
  <si>
    <t>Microsoft (2025c)</t>
  </si>
  <si>
    <t>What is new in Exchange Server Subscription Edition (SE)</t>
  </si>
  <si>
    <t>https://learn.microsoft.com/en-us/exchange/new-features/new-features?view=exchserver-2019</t>
  </si>
  <si>
    <t>Current Exchange Server/SE product context; no retirement or release-date assertion is made.</t>
  </si>
  <si>
    <t>VERIFIED: official Learn SE page retrieved; no retirement or release-date assertion used.</t>
  </si>
  <si>
    <t>2025-06-16 — Displayed last-updated date</t>
  </si>
  <si>
    <t>Access audit date: 16 October 2026. A verified GitHub sample supports only the stated API/documentation claim. It is not a live API test, a product-price verification or evidence of vendor churn/CAC.</t>
  </si>
  <si>
    <t>Validation | Formula identities and scenario checks</t>
  </si>
  <si>
    <t>Check</t>
  </si>
  <si>
    <t>Result</t>
  </si>
  <si>
    <t>Expected / rationale</t>
  </si>
  <si>
    <t>Baseline CAC, Exchange</t>
  </si>
  <si>
    <t>USD 7,000</t>
  </si>
  <si>
    <t>Baseline CAC, Google</t>
  </si>
  <si>
    <t>USD 4,000</t>
  </si>
  <si>
    <t>Linked churn, n=4</t>
  </si>
  <si>
    <t>Unrounded baseline used throughout</t>
  </si>
  <si>
    <t>Finite-horizon baseline LTV</t>
  </si>
  <si>
    <t>End-year cash; start-year survival</t>
  </si>
  <si>
    <t>Scenario n=4 links to B1</t>
  </si>
  <si>
    <t>Same provider-normalized LTV</t>
  </si>
  <si>
    <t>Exchange 5-year TCO</t>
  </si>
  <si>
    <t>USD 41,000 + 5 × USD 48,000</t>
  </si>
  <si>
    <t>Google 5-year TCO</t>
  </si>
  <si>
    <t>USD 15,000 + 5 × USD 29,800</t>
  </si>
  <si>
    <t>Annual schedule reconciliation</t>
  </si>
  <si>
    <t>Five annual rows reconcile</t>
  </si>
  <si>
    <t>High-price / low-FTE reversal</t>
  </si>
  <si>
    <t>Google savings = −USD 27,000</t>
  </si>
  <si>
    <t>Churn and retention direction</t>
  </si>
  <si>
    <t>Illustrative monotonic model</t>
  </si>
  <si>
    <t>First-year contribution timing</t>
  </si>
  <si>
    <t>No churn before year-1 contribution</t>
  </si>
  <si>
    <t>Alternative-timing identity</t>
  </si>
  <si>
    <t>About USD 15,300</t>
  </si>
  <si>
    <t>All baseline assumptions unchanged</t>
  </si>
  <si>
    <t>Baseline checkpoints intentionally flag edits</t>
  </si>
  <si>
    <t>Baseline checks compare against the report values and will flag legitimate input changes. They are reconciliation checks, not an empirical validation of the behavioural model or evidence that a real deployment meets requirements.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</si>
</sst>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%"/>
    <numFmt numFmtId="166" formatCode="&quot;$&quot;#,##0.00"/>
  </numFmts>
  <fonts count="8">
    <font>
      <sz val="11"/>
      <color theme="1"/>
      <name val="Calibri"/>
      <family val="2"/>
      <scheme val="minor"/>
    </font>
    <font>
      <b/>
      <sz val="17"/>
      <color rgb="FF183B56"/>
      <name val="Arial"/>
      <family val="2"/>
    </font>
    <font>
      <i/>
      <sz val="10"/>
      <color rgb="FF5D6570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rgb="FF145B9B"/>
      <name val="Arial"/>
      <family val="2"/>
    </font>
    <font>
      <sz val="11"/>
      <color rgb="FF166245"/>
      <name val="Arial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83B56"/>
        <bgColor indexed="64"/>
      </patternFill>
    </fill>
    <fill>
      <patternFill patternType="solid">
        <fgColor rgb="FFEAF4FC"/>
        <bgColor indexed="64"/>
      </patternFill>
    </fill>
    <fill>
      <patternFill patternType="solid">
        <fgColor rgb="FFE0F2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top" wrapText="1"/>
    </xf>
    <xf numFmtId="164" fontId="5" fillId="3" borderId="0" xfId="0" applyNumberFormat="1" applyFont="1" applyFill="1"/>
    <xf numFmtId="165" fontId="5" fillId="3" borderId="0" xfId="0" applyNumberFormat="1" applyFont="1" applyFill="1"/>
    <xf numFmtId="166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Annual churn by integration count | 2026–2030 scenarios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Annual churn (illustrative)</c:v>
          </c:tx>
          <c:spPr>
            <a:ln>
              <a:solidFill>
                <a:srgbClr val="007F86"/>
              </a:solidFill>
            </a:ln>
          </c:spPr>
          <c:marker>
            <c:symbol val="circle"/>
            <c:size val="7"/>
          </c:marker>
          <c:dLbls>
            <c:numFmt formatCode="0.00%" sourceLinked="0"/>
            <c:showVal val="1"/>
          </c:dLbls>
          <c:xVal>
            <c:numRef>
              <c:f>Churn!$A$4:$A$8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Churn!$B$4:$B$8</c:f>
              <c:numCache>
                <c:formatCode>General</c:formatCode>
                <c:ptCount val="5"/>
                <c:pt idx="0">
                  <c:v>0.18</c:v>
                </c:pt>
                <c:pt idx="1">
                  <c:v>0.14737153555403673</c:v>
                </c:pt>
                <c:pt idx="2">
                  <c:v>0.12065760828641507</c:v>
                </c:pt>
                <c:pt idx="3">
                  <c:v>0.09878609449692474</c:v>
                </c:pt>
                <c:pt idx="4">
                  <c:v>0.08087921354109988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Active material integrations, n (count)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  <c:majorUnit val="2"/>
      </c:valAx>
      <c:valAx>
        <c:axId val="50010002"/>
        <c:scaling>
          <c:orientation val="minMax"/>
          <c:max val="0.22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Annual customer churn (%)</a:t>
                </a:r>
              </a:p>
            </c:rich>
          </c:tx>
          <c:layout/>
        </c:title>
        <c:numFmt formatCode="0%" sourceLinked="0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200 users | 2026–2030 | Illustrative assumptions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Five-year TCO (nominal USD)</c:v>
          </c:tx>
          <c:dPt>
            <c:idx val="0"/>
            <c:spPr>
              <a:solidFill>
                <a:srgbClr val="183B56"/>
              </a:solidFill>
            </c:spPr>
          </c:dPt>
          <c:dPt>
            <c:idx val="1"/>
            <c:spPr>
              <a:solidFill>
                <a:srgbClr val="007F86"/>
              </a:solidFill>
            </c:spPr>
          </c:dPt>
          <c:dLbls>
            <c:numFmt formatCode="$#,##0" sourceLinked="0"/>
            <c:showVal val="1"/>
          </c:dLbls>
          <c:cat>
            <c:strRef>
              <c:f>TCO!$B$3:$C$3</c:f>
              <c:strCache>
                <c:ptCount val="2"/>
                <c:pt idx="0">
                  <c:v>Exchange SE (USD)</c:v>
                </c:pt>
                <c:pt idx="1">
                  <c:v>Google (USD)</c:v>
                </c:pt>
              </c:strCache>
            </c:strRef>
          </c:cat>
          <c:val>
            <c:numRef>
              <c:f>TCO!$B$12:$C$12</c:f>
              <c:numCache>
                <c:formatCode>General</c:formatCode>
                <c:ptCount val="2"/>
                <c:pt idx="0">
                  <c:v>281000.0</c:v>
                </c:pt>
                <c:pt idx="1">
                  <c:v>164000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Five-year nominal TCO (USD)</a:t>
                </a:r>
              </a:p>
            </c:rich>
          </c:tx>
          <c:layout/>
        </c:title>
        <c:numFmt formatCode="$#,##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4</xdr:col>
      <xdr:colOff>533400</xdr:colOff>
      <xdr:row>17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4</xdr:col>
      <xdr:colOff>533400</xdr:colOff>
      <xdr:row>39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googleblog.blogspot.com/2006/08/get-your-people-talking.html" TargetMode="External"/><Relationship Id="rId2" Type="http://schemas.openxmlformats.org/officeDocument/2006/relationships/hyperlink" Target="https://workspace.google.com/pricing.html" TargetMode="External"/><Relationship Id="rId3" Type="http://schemas.openxmlformats.org/officeDocument/2006/relationships/hyperlink" Target="https://developers.google.com/workspace/marketplace" TargetMode="External"/><Relationship Id="rId4" Type="http://schemas.openxmlformats.org/officeDocument/2006/relationships/hyperlink" Target="https://developers.google.com/workspace/gmail/api/quickstart/python" TargetMode="External"/><Relationship Id="rId5" Type="http://schemas.openxmlformats.org/officeDocument/2006/relationships/hyperlink" Target="https://raw.githubusercontent.com/googleworkspace/python-samples/main/gmail/quickstart/quickstart.py" TargetMode="External"/><Relationship Id="rId6" Type="http://schemas.openxmlformats.org/officeDocument/2006/relationships/hyperlink" Target="https://developers.google.com/workspace/admin/directory/v1/quickstart/python" TargetMode="External"/><Relationship Id="rId7" Type="http://schemas.openxmlformats.org/officeDocument/2006/relationships/hyperlink" Target="https://raw.githubusercontent.com/googleworkspace/python-samples/main/admin_sdk/directory/quickstart.py" TargetMode="External"/><Relationship Id="rId8" Type="http://schemas.openxmlformats.org/officeDocument/2006/relationships/hyperlink" Target="https://developers.google.com/workspace/drive/api/quickstart/python" TargetMode="External"/><Relationship Id="rId9" Type="http://schemas.openxmlformats.org/officeDocument/2006/relationships/hyperlink" Target="https://raw.githubusercontent.com/googleworkspace/python-samples/main/drive/quickstart/quickstart.py" TargetMode="External"/><Relationship Id="rId10" Type="http://schemas.openxmlformats.org/officeDocument/2006/relationships/hyperlink" Target="https://learn.microsoft.com/powershell/module/exchangepowershell/new-mailbox" TargetMode="External"/><Relationship Id="rId11" Type="http://schemas.openxmlformats.org/officeDocument/2006/relationships/hyperlink" Target="https://raw.githubusercontent.com/MicrosoftDocs/office-docs-powershell/main/exchange/exchange-ps/ExchangePowerShell/New-Mailbox.md" TargetMode="External"/><Relationship Id="rId12" Type="http://schemas.openxmlformats.org/officeDocument/2006/relationships/hyperlink" Target="https://learn.microsoft.com/powershell/module/exchangepowershell/new-migrationbatch" TargetMode="External"/><Relationship Id="rId13" Type="http://schemas.openxmlformats.org/officeDocument/2006/relationships/hyperlink" Target="https://raw.githubusercontent.com/MicrosoftDocs/office-docs-powershell/main/exchange/exchange-ps/ExchangePowerShell/New-MigrationBatch.md" TargetMode="External"/><Relationship Id="rId14" Type="http://schemas.openxmlformats.org/officeDocument/2006/relationships/hyperlink" Target="https://learn.microsoft.com/en-us/office365/servicedescriptions/exchange-online-service-description/exchange-online-service-description" TargetMode="External"/><Relationship Id="rId15" Type="http://schemas.openxmlformats.org/officeDocument/2006/relationships/hyperlink" Target="https://learn.microsoft.com/en-us/exchange/architecture/architecture?view=exchserver-2019" TargetMode="External"/><Relationship Id="rId16" Type="http://schemas.openxmlformats.org/officeDocument/2006/relationships/hyperlink" Target="https://learn.microsoft.com/en-us/exchange/new-features/new-features?view=exchserver-2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5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35.7109375" customWidth="1"/>
    <col min="2" max="8" width="19.7109375" customWidth="1"/>
  </cols>
  <sheetData>
    <row r="1" spans="1:8" ht="22" customHeight="1">
      <c r="A1" s="1" t="s">
        <v>0</v>
      </c>
      <c r="B1" s="1"/>
      <c r="C1" s="1"/>
      <c r="D1" s="1"/>
      <c r="E1" s="1"/>
      <c r="F1" s="1"/>
      <c r="G1" s="1"/>
      <c r="H1" s="1"/>
    </row>
    <row r="4" spans="1:8" ht="25" customHeight="1">
      <c r="A4" s="2" t="s">
        <v>1</v>
      </c>
      <c r="B4" s="2"/>
      <c r="C4" s="2"/>
      <c r="D4" s="2"/>
      <c r="E4" s="2"/>
      <c r="F4" s="2"/>
      <c r="G4" s="2"/>
      <c r="H4" s="2"/>
    </row>
    <row r="5" spans="1:8" ht="25" customHeight="1">
      <c r="A5" s="2"/>
      <c r="B5" s="2"/>
      <c r="C5" s="2"/>
      <c r="D5" s="2"/>
      <c r="E5" s="2"/>
      <c r="F5" s="2"/>
      <c r="G5" s="2"/>
      <c r="H5" s="2"/>
    </row>
    <row r="7" spans="1:8" ht="25" customHeight="1">
      <c r="A7" s="2" t="s">
        <v>2</v>
      </c>
      <c r="B7" s="2"/>
      <c r="C7" s="2"/>
      <c r="D7" s="2"/>
      <c r="E7" s="2"/>
      <c r="F7" s="2"/>
      <c r="G7" s="2"/>
      <c r="H7" s="2"/>
    </row>
    <row r="8" spans="1:8" ht="25" customHeight="1">
      <c r="A8" s="2"/>
      <c r="B8" s="2"/>
      <c r="C8" s="2"/>
      <c r="D8" s="2"/>
      <c r="E8" s="2"/>
      <c r="F8" s="2"/>
      <c r="G8" s="2"/>
      <c r="H8" s="2"/>
    </row>
    <row r="10" spans="1:8" ht="25" customHeight="1">
      <c r="A10" s="2" t="s">
        <v>3</v>
      </c>
      <c r="B10" s="2"/>
      <c r="C10" s="2"/>
      <c r="D10" s="2"/>
      <c r="E10" s="2"/>
      <c r="F10" s="2"/>
      <c r="G10" s="2"/>
      <c r="H10" s="2"/>
    </row>
    <row r="11" spans="1:8" ht="25" customHeight="1">
      <c r="A11" s="2"/>
      <c r="B11" s="2"/>
      <c r="C11" s="2"/>
      <c r="D11" s="2"/>
      <c r="E11" s="2"/>
      <c r="F11" s="2"/>
      <c r="G11" s="2"/>
      <c r="H11" s="2"/>
    </row>
    <row r="13" spans="1:8" ht="25" customHeight="1">
      <c r="A13" s="2" t="s">
        <v>4</v>
      </c>
      <c r="B13" s="2"/>
      <c r="C13" s="2"/>
      <c r="D13" s="2"/>
      <c r="E13" s="2"/>
      <c r="F13" s="2"/>
      <c r="G13" s="2"/>
      <c r="H13" s="2"/>
    </row>
    <row r="14" spans="1:8" ht="25" customHeight="1">
      <c r="A14" s="2"/>
      <c r="B14" s="2"/>
      <c r="C14" s="2"/>
      <c r="D14" s="2"/>
      <c r="E14" s="2"/>
      <c r="F14" s="2"/>
      <c r="G14" s="2"/>
      <c r="H14" s="2"/>
    </row>
    <row r="16" spans="1:8" ht="25" customHeight="1">
      <c r="A16" s="2" t="s">
        <v>5</v>
      </c>
      <c r="B16" s="2"/>
      <c r="C16" s="2"/>
      <c r="D16" s="2"/>
      <c r="E16" s="2"/>
      <c r="F16" s="2"/>
      <c r="G16" s="2"/>
      <c r="H16" s="2"/>
    </row>
    <row r="17" spans="1:8" ht="25" customHeight="1">
      <c r="A17" s="2"/>
      <c r="B17" s="2"/>
      <c r="C17" s="2"/>
      <c r="D17" s="2"/>
      <c r="E17" s="2"/>
      <c r="F17" s="2"/>
      <c r="G17" s="2"/>
      <c r="H17" s="2"/>
    </row>
    <row r="19" spans="1:8" ht="25" customHeight="1">
      <c r="A19" s="2" t="s">
        <v>6</v>
      </c>
      <c r="B19" s="2"/>
      <c r="C19" s="2"/>
      <c r="D19" s="2"/>
      <c r="E19" s="2"/>
      <c r="F19" s="2"/>
      <c r="G19" s="2"/>
      <c r="H19" s="2"/>
    </row>
    <row r="20" spans="1:8" ht="25" customHeight="1">
      <c r="A20" s="2"/>
      <c r="B20" s="2"/>
      <c r="C20" s="2"/>
      <c r="D20" s="2"/>
      <c r="E20" s="2"/>
      <c r="F20" s="2"/>
      <c r="G20" s="2"/>
      <c r="H20" s="2"/>
    </row>
    <row r="22" spans="1:8" ht="25" customHeight="1">
      <c r="A22" s="2" t="s">
        <v>7</v>
      </c>
      <c r="B22" s="2"/>
      <c r="C22" s="2"/>
      <c r="D22" s="2"/>
      <c r="E22" s="2"/>
      <c r="F22" s="2"/>
      <c r="G22" s="2"/>
      <c r="H22" s="2"/>
    </row>
    <row r="23" spans="1:8" ht="25" customHeight="1">
      <c r="A23" s="2"/>
      <c r="B23" s="2"/>
      <c r="C23" s="2"/>
      <c r="D23" s="2"/>
      <c r="E23" s="2"/>
      <c r="F23" s="2"/>
      <c r="G23" s="2"/>
      <c r="H23" s="2"/>
    </row>
    <row r="25" spans="1:8" ht="25" customHeight="1">
      <c r="A25" s="2" t="s">
        <v>8</v>
      </c>
      <c r="B25" s="2"/>
      <c r="C25" s="2"/>
      <c r="D25" s="2"/>
      <c r="E25" s="2"/>
      <c r="F25" s="2"/>
      <c r="G25" s="2"/>
      <c r="H25" s="2"/>
    </row>
    <row r="26" spans="1:8" ht="25" customHeight="1">
      <c r="A26" s="2"/>
      <c r="B26" s="2"/>
      <c r="C26" s="2"/>
      <c r="D26" s="2"/>
      <c r="E26" s="2"/>
      <c r="F26" s="2"/>
      <c r="G26" s="2"/>
      <c r="H26" s="2"/>
    </row>
    <row r="28" spans="1:8" ht="25" customHeight="1">
      <c r="A28" s="2" t="s">
        <v>9</v>
      </c>
      <c r="B28" s="2"/>
      <c r="C28" s="2"/>
      <c r="D28" s="2"/>
      <c r="E28" s="2"/>
      <c r="F28" s="2"/>
      <c r="G28" s="2"/>
      <c r="H28" s="2"/>
    </row>
    <row r="29" spans="1:8" ht="25" customHeight="1">
      <c r="A29" s="2"/>
      <c r="B29" s="2"/>
      <c r="C29" s="2"/>
      <c r="D29" s="2"/>
      <c r="E29" s="2"/>
      <c r="F29" s="2"/>
      <c r="G29" s="2"/>
      <c r="H29" s="2"/>
    </row>
    <row r="31" spans="1:8" ht="25" customHeight="1">
      <c r="A31" s="2" t="s">
        <v>10</v>
      </c>
      <c r="B31" s="2"/>
      <c r="C31" s="2"/>
      <c r="D31" s="2"/>
      <c r="E31" s="2"/>
      <c r="F31" s="2"/>
      <c r="G31" s="2"/>
      <c r="H31" s="2"/>
    </row>
    <row r="32" spans="1:8" ht="25" customHeight="1">
      <c r="A32" s="2"/>
      <c r="B32" s="2"/>
      <c r="C32" s="2"/>
      <c r="D32" s="2"/>
      <c r="E32" s="2"/>
      <c r="F32" s="2"/>
      <c r="G32" s="2"/>
      <c r="H32" s="2"/>
    </row>
    <row r="34" spans="1:8" ht="25" customHeight="1">
      <c r="A34" s="2" t="s">
        <v>11</v>
      </c>
      <c r="B34" s="2"/>
      <c r="C34" s="2"/>
      <c r="D34" s="2"/>
      <c r="E34" s="2"/>
      <c r="F34" s="2"/>
      <c r="G34" s="2"/>
      <c r="H34" s="2"/>
    </row>
    <row r="35" spans="1:8" ht="25" customHeight="1">
      <c r="A35" s="2"/>
      <c r="B35" s="2"/>
      <c r="C35" s="2"/>
      <c r="D35" s="2"/>
      <c r="E35" s="2"/>
      <c r="F35" s="2"/>
      <c r="G35" s="2"/>
      <c r="H35" s="2"/>
    </row>
  </sheetData>
  <mergeCells count="12">
    <mergeCell ref="A1:H1"/>
    <mergeCell ref="A4:H5"/>
    <mergeCell ref="A7:H8"/>
    <mergeCell ref="A10:H11"/>
    <mergeCell ref="A13:H14"/>
    <mergeCell ref="A16:H17"/>
    <mergeCell ref="A19:H20"/>
    <mergeCell ref="A22:H23"/>
    <mergeCell ref="A25:H26"/>
    <mergeCell ref="A28:H29"/>
    <mergeCell ref="A31:H32"/>
    <mergeCell ref="A34:H35"/>
  </mergeCell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8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25.7109375" customWidth="1"/>
    <col min="2" max="2" width="19.7109375" customWidth="1"/>
    <col min="3" max="3" width="27.7109375" customWidth="1"/>
    <col min="4" max="4" width="79.7109375" customWidth="1"/>
    <col min="5" max="8" width="19.7109375" customWidth="1"/>
  </cols>
  <sheetData>
    <row r="1" spans="1:8" ht="22" customHeight="1">
      <c r="A1" s="1" t="s">
        <v>12</v>
      </c>
      <c r="B1" s="1"/>
      <c r="C1" s="1"/>
      <c r="D1" s="1"/>
      <c r="E1" s="1"/>
      <c r="F1" s="1"/>
      <c r="G1" s="1"/>
      <c r="H1" s="1"/>
    </row>
    <row r="3" spans="1:8" ht="32" customHeight="1">
      <c r="A3" s="3" t="s">
        <v>13</v>
      </c>
      <c r="B3" s="3" t="s">
        <v>14</v>
      </c>
      <c r="C3" s="3" t="s">
        <v>15</v>
      </c>
      <c r="D3" s="3" t="s">
        <v>16</v>
      </c>
    </row>
    <row r="4" spans="1:8" ht="32" customHeight="1">
      <c r="A4" s="4" t="s">
        <v>17</v>
      </c>
      <c r="B4" s="5">
        <v>200</v>
      </c>
      <c r="C4" s="4" t="s">
        <v>18</v>
      </c>
      <c r="D4" s="4" t="s">
        <v>19</v>
      </c>
    </row>
    <row r="5" spans="1:8" ht="32" customHeight="1">
      <c r="A5" s="4" t="s">
        <v>20</v>
      </c>
      <c r="B5" s="5">
        <v>5</v>
      </c>
      <c r="C5" s="4" t="s">
        <v>20</v>
      </c>
      <c r="D5" s="4" t="s">
        <v>21</v>
      </c>
    </row>
    <row r="6" spans="1:8" ht="32" customHeight="1">
      <c r="A6" s="4" t="s">
        <v>22</v>
      </c>
      <c r="B6" s="5">
        <v>2026</v>
      </c>
      <c r="C6" s="4" t="s">
        <v>23</v>
      </c>
      <c r="D6" s="4" t="s">
        <v>24</v>
      </c>
    </row>
    <row r="7" spans="1:8" ht="32" customHeight="1">
      <c r="A7" s="4" t="s">
        <v>25</v>
      </c>
      <c r="B7" s="5">
        <v>10</v>
      </c>
      <c r="C7" s="4" t="s">
        <v>26</v>
      </c>
      <c r="D7" s="4" t="s">
        <v>27</v>
      </c>
    </row>
    <row r="8" spans="1:8" ht="32" customHeight="1">
      <c r="A8" s="4" t="s">
        <v>28</v>
      </c>
      <c r="B8" s="5">
        <v>70000</v>
      </c>
      <c r="C8" s="4" t="s">
        <v>29</v>
      </c>
      <c r="D8" s="4" t="s">
        <v>30</v>
      </c>
    </row>
    <row r="9" spans="1:8" ht="32" customHeight="1">
      <c r="A9" s="4" t="s">
        <v>31</v>
      </c>
      <c r="B9" s="5">
        <v>70000</v>
      </c>
      <c r="C9" s="4" t="s">
        <v>29</v>
      </c>
      <c r="D9" s="4" t="s">
        <v>32</v>
      </c>
    </row>
    <row r="10" spans="1:8" ht="32" customHeight="1">
      <c r="A10" s="4" t="s">
        <v>33</v>
      </c>
      <c r="B10" s="5">
        <v>30000</v>
      </c>
      <c r="C10" s="4" t="s">
        <v>29</v>
      </c>
      <c r="D10" s="4" t="s">
        <v>34</v>
      </c>
    </row>
    <row r="11" spans="1:8" ht="32" customHeight="1">
      <c r="A11" s="4" t="s">
        <v>35</v>
      </c>
      <c r="B11" s="5">
        <v>6000</v>
      </c>
      <c r="C11" s="4" t="s">
        <v>36</v>
      </c>
      <c r="D11" s="4" t="s">
        <v>37</v>
      </c>
    </row>
    <row r="12" spans="1:8" ht="32" customHeight="1">
      <c r="A12" s="4" t="s">
        <v>38</v>
      </c>
      <c r="B12" s="6">
        <v>0.05</v>
      </c>
      <c r="C12" s="4" t="s">
        <v>39</v>
      </c>
      <c r="D12" s="4" t="s">
        <v>40</v>
      </c>
    </row>
    <row r="13" spans="1:8" ht="32" customHeight="1">
      <c r="A13" s="4" t="s">
        <v>41</v>
      </c>
      <c r="B13" s="6">
        <v>0.1</v>
      </c>
      <c r="C13" s="4" t="s">
        <v>39</v>
      </c>
      <c r="D13" s="4" t="s">
        <v>42</v>
      </c>
    </row>
    <row r="14" spans="1:8" ht="32" customHeight="1">
      <c r="A14" s="4" t="s">
        <v>43</v>
      </c>
      <c r="B14" s="6">
        <v>0.18</v>
      </c>
      <c r="C14" s="4" t="s">
        <v>39</v>
      </c>
      <c r="D14" s="4" t="s">
        <v>44</v>
      </c>
    </row>
    <row r="15" spans="1:8" ht="32" customHeight="1">
      <c r="A15" s="4" t="s">
        <v>45</v>
      </c>
      <c r="B15" s="5">
        <v>0.1</v>
      </c>
      <c r="C15" s="4" t="s">
        <v>46</v>
      </c>
      <c r="D15" s="4" t="s">
        <v>47</v>
      </c>
    </row>
    <row r="16" spans="1:8" ht="32" customHeight="1">
      <c r="A16" s="4" t="s">
        <v>48</v>
      </c>
      <c r="B16" s="5">
        <v>4</v>
      </c>
      <c r="C16" s="4" t="s">
        <v>49</v>
      </c>
      <c r="D16" s="4" t="s">
        <v>50</v>
      </c>
    </row>
    <row r="17" spans="1:4" ht="32" customHeight="1">
      <c r="A17" s="4" t="s">
        <v>51</v>
      </c>
      <c r="B17" s="5">
        <v>32000</v>
      </c>
      <c r="C17" s="4" t="s">
        <v>52</v>
      </c>
      <c r="D17" s="4" t="s">
        <v>53</v>
      </c>
    </row>
    <row r="18" spans="1:4" ht="32" customHeight="1">
      <c r="A18" s="4" t="s">
        <v>54</v>
      </c>
      <c r="B18" s="5">
        <v>9000</v>
      </c>
      <c r="C18" s="4" t="s">
        <v>52</v>
      </c>
      <c r="D18" s="4" t="s">
        <v>55</v>
      </c>
    </row>
    <row r="19" spans="1:4" ht="32" customHeight="1">
      <c r="A19" s="4" t="s">
        <v>56</v>
      </c>
      <c r="B19" s="5">
        <v>12000</v>
      </c>
      <c r="C19" s="4" t="s">
        <v>57</v>
      </c>
      <c r="D19" s="4" t="s">
        <v>58</v>
      </c>
    </row>
    <row r="20" spans="1:4" ht="32" customHeight="1">
      <c r="A20" s="4" t="s">
        <v>59</v>
      </c>
      <c r="B20" s="5">
        <v>80000</v>
      </c>
      <c r="C20" s="4" t="s">
        <v>60</v>
      </c>
      <c r="D20" s="4" t="s">
        <v>61</v>
      </c>
    </row>
    <row r="21" spans="1:4" ht="32" customHeight="1">
      <c r="A21" s="4" t="s">
        <v>62</v>
      </c>
      <c r="B21" s="5">
        <v>0.3</v>
      </c>
      <c r="C21" s="4" t="s">
        <v>63</v>
      </c>
      <c r="D21" s="4" t="s">
        <v>64</v>
      </c>
    </row>
    <row r="22" spans="1:4" ht="32" customHeight="1">
      <c r="A22" s="4" t="s">
        <v>65</v>
      </c>
      <c r="B22" s="5">
        <v>7000</v>
      </c>
      <c r="C22" s="4" t="s">
        <v>57</v>
      </c>
      <c r="D22" s="4" t="s">
        <v>66</v>
      </c>
    </row>
    <row r="23" spans="1:4" ht="32" customHeight="1">
      <c r="A23" s="4" t="s">
        <v>67</v>
      </c>
      <c r="B23" s="5">
        <v>5000</v>
      </c>
      <c r="C23" s="4" t="s">
        <v>68</v>
      </c>
      <c r="D23" s="4" t="s">
        <v>69</v>
      </c>
    </row>
    <row r="24" spans="1:4" ht="32" customHeight="1">
      <c r="A24" s="4" t="s">
        <v>70</v>
      </c>
      <c r="B24" s="5">
        <v>15000</v>
      </c>
      <c r="C24" s="4" t="s">
        <v>52</v>
      </c>
      <c r="D24" s="4" t="s">
        <v>71</v>
      </c>
    </row>
    <row r="25" spans="1:4" ht="32" customHeight="1">
      <c r="A25" s="4" t="s">
        <v>72</v>
      </c>
      <c r="B25" s="5">
        <v>7</v>
      </c>
      <c r="C25" s="4" t="s">
        <v>73</v>
      </c>
      <c r="D25" s="4" t="s">
        <v>74</v>
      </c>
    </row>
    <row r="26" spans="1:4" ht="32" customHeight="1">
      <c r="A26" s="4" t="s">
        <v>75</v>
      </c>
      <c r="B26" s="5">
        <v>8000</v>
      </c>
      <c r="C26" s="4" t="s">
        <v>57</v>
      </c>
      <c r="D26" s="4" t="s">
        <v>76</v>
      </c>
    </row>
    <row r="27" spans="1:4" ht="32" customHeight="1">
      <c r="A27" s="4" t="s">
        <v>77</v>
      </c>
      <c r="B27" s="5">
        <v>14</v>
      </c>
      <c r="C27" s="4" t="s">
        <v>73</v>
      </c>
      <c r="D27" s="4" t="s">
        <v>78</v>
      </c>
    </row>
    <row r="28" spans="1:4" ht="32" customHeight="1">
      <c r="A28" s="4" t="s">
        <v>79</v>
      </c>
      <c r="B28" s="5">
        <v>0.15</v>
      </c>
      <c r="C28" s="4" t="s">
        <v>63</v>
      </c>
      <c r="D28" s="4" t="s">
        <v>80</v>
      </c>
    </row>
  </sheetData>
  <mergeCells count="1">
    <mergeCell ref="A1:H1"/>
  </mergeCells>
  <dataValidations count="29">
    <dataValidation type="decimal" operator="greaterThanOrEqual" allowBlank="1" showInputMessage="1" showErrorMessage="1" sqref="B4">
      <formula1>0</formula1>
    </dataValidation>
    <dataValidation type="decimal" operator="greaterThanOrEqual" allowBlank="1" showInputMessage="1" showErrorMessage="1" sqref="B5">
      <formula1>0</formula1>
    </dataValidation>
    <dataValidation type="decimal" operator="greaterThanOrEqual" allowBlank="1" showInputMessage="1" showErrorMessage="1" sqref="B6">
      <formula1>0</formula1>
    </dataValidation>
    <dataValidation type="decimal" operator="greaterThanOrEqual" allowBlank="1" showInputMessage="1" showErrorMessage="1" sqref="B7">
      <formula1>0</formula1>
    </dataValidation>
    <dataValidation type="decimal" operator="greaterThanOrEqual" allowBlank="1" showInputMessage="1" showErrorMessage="1" sqref="B8">
      <formula1>0</formula1>
    </dataValidation>
    <dataValidation type="decimal" operator="greaterThanOrEqual" allowBlank="1" showInputMessage="1" showErrorMessage="1" sqref="B9">
      <formula1>0</formula1>
    </dataValidation>
    <dataValidation type="decimal" operator="greaterThanOrEqual" allowBlank="1" showInputMessage="1" showErrorMessage="1" sqref="B10">
      <formula1>0</formula1>
    </dataValidation>
    <dataValidation type="decimal" operator="greaterThanOrEqual" allowBlank="1" showInputMessage="1" showErrorMessage="1" sqref="B11">
      <formula1>0</formula1>
    </dataValidation>
    <dataValidation type="decimal" operator="greaterThanOrEqual" allowBlank="1" showInputMessage="1" showErrorMessage="1" sqref="B12">
      <formula1>0</formula1>
    </dataValidation>
    <dataValidation type="decimal" operator="greaterThanOrEqual" allowBlank="1" showInputMessage="1" showErrorMessage="1" sqref="B13">
      <formula1>0</formula1>
    </dataValidation>
    <dataValidation type="decimal" operator="greaterThanOrEqual" allowBlank="1" showInputMessage="1" showErrorMessage="1" sqref="B14">
      <formula1>0</formula1>
    </dataValidation>
    <dataValidation type="decimal" operator="greaterThanOrEqual" allowBlank="1" showInputMessage="1" showErrorMessage="1" sqref="B15">
      <formula1>0</formula1>
    </dataValidation>
    <dataValidation type="decimal" operator="greaterThanOrEqual" allowBlank="1" showInputMessage="1" showErrorMessage="1" sqref="B16">
      <formula1>0</formula1>
    </dataValidation>
    <dataValidation type="decimal" operator="greaterThanOrEqual" allowBlank="1" showInputMessage="1" showErrorMessage="1" sqref="B17">
      <formula1>0</formula1>
    </dataValidation>
    <dataValidation type="decimal" operator="greaterThanOrEqual" allowBlank="1" showInputMessage="1" showErrorMessage="1" sqref="B18">
      <formula1>0</formula1>
    </dataValidation>
    <dataValidation type="decimal" operator="greaterThanOrEqual" allowBlank="1" showInputMessage="1" showErrorMessage="1" sqref="B19">
      <formula1>0</formula1>
    </dataValidation>
    <dataValidation type="decimal" operator="greaterThanOrEqual" allowBlank="1" showInputMessage="1" showErrorMessage="1" sqref="B20">
      <formula1>0</formula1>
    </dataValidation>
    <dataValidation type="decimal" operator="greaterThanOrEqual" allowBlank="1" showInputMessage="1" showErrorMessage="1" sqref="B21">
      <formula1>0</formula1>
    </dataValidation>
    <dataValidation type="decimal" operator="greaterThanOrEqual" allowBlank="1" showInputMessage="1" showErrorMessage="1" sqref="B22">
      <formula1>0</formula1>
    </dataValidation>
    <dataValidation type="decimal" operator="greaterThanOrEqual" allowBlank="1" showInputMessage="1" showErrorMessage="1" sqref="B23">
      <formula1>0</formula1>
    </dataValidation>
    <dataValidation type="decimal" operator="greaterThanOrEqual" allowBlank="1" showInputMessage="1" showErrorMessage="1" sqref="B24">
      <formula1>0</formula1>
    </dataValidation>
    <dataValidation type="decimal" operator="greaterThanOrEqual" allowBlank="1" showInputMessage="1" showErrorMessage="1" sqref="B25">
      <formula1>0</formula1>
    </dataValidation>
    <dataValidation type="decimal" operator="greaterThanOrEqual" allowBlank="1" showInputMessage="1" showErrorMessage="1" sqref="B26">
      <formula1>0</formula1>
    </dataValidation>
    <dataValidation type="decimal" operator="greaterThanOrEqual" allowBlank="1" showInputMessage="1" showErrorMessage="1" sqref="B27">
      <formula1>0</formula1>
    </dataValidation>
    <dataValidation type="decimal" operator="greaterThanOrEqual" allowBlank="1" showInputMessage="1" showErrorMessage="1" sqref="B28">
      <formula1>0</formula1>
    </dataValidation>
    <dataValidation type="list" allowBlank="1" showInputMessage="1" showErrorMessage="1" sqref="B16">
      <formula1>"0,2,4,6,8"</formula1>
    </dataValidation>
    <dataValidation type="decimal" allowBlank="1" showInputMessage="1" showErrorMessage="1" sqref="B12">
      <formula1>0</formula1>
      <formula2>1</formula2>
    </dataValidation>
    <dataValidation type="decimal" allowBlank="1" showInputMessage="1" showErrorMessage="1" sqref="B14">
      <formula1>0</formula1>
      <formula2>1</formula2>
    </dataValidation>
    <dataValidation type="whole" operator="equal" allowBlank="1" showInputMessage="1" showErrorMessage="1" sqref="B5">
      <formula1>5</formula1>
    </dataValidation>
  </dataValidation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35.7109375" customWidth="1"/>
    <col min="2" max="8" width="19.7109375" customWidth="1"/>
  </cols>
  <sheetData>
    <row r="1" spans="1:8" ht="22" customHeight="1">
      <c r="A1" s="1" t="s">
        <v>90</v>
      </c>
      <c r="B1" s="1"/>
      <c r="C1" s="1"/>
      <c r="D1" s="1"/>
      <c r="E1" s="1"/>
      <c r="F1" s="1"/>
      <c r="G1" s="1"/>
      <c r="H1" s="1"/>
    </row>
    <row r="3" spans="1:8" ht="32" customHeight="1">
      <c r="A3" s="3" t="s">
        <v>91</v>
      </c>
      <c r="B3" s="3" t="s">
        <v>92</v>
      </c>
      <c r="C3" s="3" t="s">
        <v>93</v>
      </c>
    </row>
    <row r="4" spans="1:8" ht="31" customHeight="1">
      <c r="A4" s="4" t="s">
        <v>94</v>
      </c>
      <c r="B4" s="7">
        <f>Inputs!$B$8</f>
        <v>70000</v>
      </c>
      <c r="C4" s="7">
        <f>Inputs!$B$9</f>
        <v>70000</v>
      </c>
    </row>
    <row r="5" spans="1:8" ht="31" customHeight="1">
      <c r="A5" s="4" t="s">
        <v>95</v>
      </c>
      <c r="B5" s="7">
        <f>0</f>
        <v>0</v>
      </c>
      <c r="C5" s="7">
        <f>Inputs!$B$10</f>
        <v>30000</v>
      </c>
    </row>
    <row r="6" spans="1:8" ht="31" customHeight="1">
      <c r="A6" s="4" t="s">
        <v>96</v>
      </c>
      <c r="B6" s="7">
        <f>B4-B5</f>
        <v>70000</v>
      </c>
      <c r="C6" s="7">
        <f>C4-C5</f>
        <v>40000</v>
      </c>
    </row>
    <row r="7" spans="1:8" ht="31" customHeight="1">
      <c r="A7" s="4" t="s">
        <v>97</v>
      </c>
      <c r="B7" s="7">
        <f>B6/Inputs!$B$7</f>
        <v>7000</v>
      </c>
      <c r="C7" s="7">
        <f>C6/Inputs!$B$7</f>
        <v>4000</v>
      </c>
    </row>
    <row r="8" spans="1:8" ht="31" customHeight="1">
      <c r="A8" s="4" t="s">
        <v>98</v>
      </c>
      <c r="B8" s="7">
        <f>SUM(G18:G22)</f>
        <v>17398.866894456114</v>
      </c>
      <c r="C8" s="7">
        <f>SUM(G18:G22)</f>
        <v>17398.866894456114</v>
      </c>
    </row>
    <row r="9" spans="1:8" ht="31" customHeight="1">
      <c r="A9" s="4" t="s">
        <v>99</v>
      </c>
      <c r="B9" s="8">
        <f>B8/B7</f>
        <v>2.4855524134937306</v>
      </c>
      <c r="C9" s="8">
        <f>C8/C7</f>
        <v>4.349716723614028</v>
      </c>
    </row>
    <row r="10" spans="1:8" ht="31" customHeight="1">
      <c r="A10" s="4" t="s">
        <v>100</v>
      </c>
      <c r="B10" s="7">
        <f>B4/Inputs!$B$7</f>
        <v>7000</v>
      </c>
      <c r="C10" s="7">
        <f>C4/Inputs!$B$7</f>
        <v>7000</v>
      </c>
    </row>
    <row r="11" spans="1:8" ht="31" customHeight="1">
      <c r="A11" s="4" t="s">
        <v>101</v>
      </c>
      <c r="B11" s="8">
        <f>B8/B10</f>
        <v>2.4855524134937306</v>
      </c>
      <c r="C11" s="8">
        <f>C8/C10</f>
        <v>2.4855524134937306</v>
      </c>
    </row>
    <row r="13" spans="1:8" ht="22" customHeight="1">
      <c r="A13" s="4" t="s">
        <v>102</v>
      </c>
      <c r="B13" s="8">
        <f>Inputs!$B$16</f>
        <v>4</v>
      </c>
    </row>
    <row r="14" spans="1:8" ht="22" customHeight="1">
      <c r="A14" s="4" t="s">
        <v>103</v>
      </c>
      <c r="B14" s="9">
        <f>INDEX(Churn!B4:B8,MATCH(B13,Churn!A4:A8,0))</f>
        <v>0.12065760828641507</v>
      </c>
    </row>
    <row r="17" spans="1:8" ht="32" customHeight="1">
      <c r="A17" s="3" t="s">
        <v>104</v>
      </c>
      <c r="B17" s="3" t="s">
        <v>105</v>
      </c>
      <c r="C17" s="3" t="s">
        <v>106</v>
      </c>
      <c r="D17" s="3" t="s">
        <v>107</v>
      </c>
      <c r="E17" s="3" t="s">
        <v>108</v>
      </c>
      <c r="F17" s="3" t="s">
        <v>109</v>
      </c>
      <c r="G17" s="3" t="s">
        <v>110</v>
      </c>
    </row>
    <row r="18" spans="1:8" ht="22" customHeight="1">
      <c r="A18" s="8">
        <v>1</v>
      </c>
      <c r="B18" s="8">
        <f>Inputs!$B$6+A18-1</f>
        <v>2026</v>
      </c>
      <c r="C18" s="9">
        <f>(1-$B$14)^(A18-1)</f>
        <v>1.0</v>
      </c>
      <c r="D18" s="9">
        <f>(1-$B$14)^A18</f>
        <v>0.879342391713585</v>
      </c>
      <c r="E18" s="7">
        <f>Inputs!$B$11*(1-Inputs!$B$12)*C18</f>
        <v>5700.0</v>
      </c>
      <c r="F18" s="8">
        <f>1/(1+Inputs!$B$13)^A18</f>
        <v>0.9090909090909091</v>
      </c>
      <c r="G18" s="7">
        <f>E18*F18</f>
        <v>5181.818181818181</v>
      </c>
    </row>
    <row r="19" spans="1:8" ht="22" customHeight="1">
      <c r="A19" s="8">
        <v>2</v>
      </c>
      <c r="B19" s="8">
        <f>Inputs!$B$6+A19-1</f>
        <v>2027</v>
      </c>
      <c r="C19" s="9">
        <f>(1-$B$14)^(A19-1)</f>
        <v>0.879342391713585</v>
      </c>
      <c r="D19" s="9">
        <f>(1-$B$14)^A19</f>
        <v>0.7732430418645679</v>
      </c>
      <c r="E19" s="7">
        <f>Inputs!$B$11*(1-Inputs!$B$12)*C19</f>
        <v>5012.251632767434</v>
      </c>
      <c r="F19" s="8">
        <f>1/(1+Inputs!$B$13)^A19</f>
        <v>0.8264462809917354</v>
      </c>
      <c r="G19" s="7">
        <f>E19*F19</f>
        <v>4142.356721295399</v>
      </c>
    </row>
    <row r="20" spans="1:8" ht="22" customHeight="1">
      <c r="A20" s="8">
        <v>3</v>
      </c>
      <c r="B20" s="8">
        <f>Inputs!$B$6+A20-1</f>
        <v>2028</v>
      </c>
      <c r="C20" s="9">
        <f>(1-$B$14)^(A20-1)</f>
        <v>0.7732430418645679</v>
      </c>
      <c r="D20" s="9">
        <f>(1-$B$14)^A20</f>
        <v>0.6799453858090768</v>
      </c>
      <c r="E20" s="7">
        <f>Inputs!$B$11*(1-Inputs!$B$12)*C20</f>
        <v>4407.485338628037</v>
      </c>
      <c r="F20" s="8">
        <f>1/(1+Inputs!$B$13)^A20</f>
        <v>0.7513148009015775</v>
      </c>
      <c r="G20" s="7">
        <f>E20*F20</f>
        <v>3311.408969667946</v>
      </c>
    </row>
    <row r="21" spans="1:8" ht="22" customHeight="1">
      <c r="A21" s="8">
        <v>4</v>
      </c>
      <c r="B21" s="8">
        <f>Inputs!$B$6+A21-1</f>
        <v>2029</v>
      </c>
      <c r="C21" s="9">
        <f>(1-$B$14)^(A21-1)</f>
        <v>0.6799453858090768</v>
      </c>
      <c r="D21" s="9">
        <f>(1-$B$14)^A21</f>
        <v>0.5979048017919699</v>
      </c>
      <c r="E21" s="7">
        <f>Inputs!$B$11*(1-Inputs!$B$12)*C21</f>
        <v>3875.688699111738</v>
      </c>
      <c r="F21" s="8">
        <f>1/(1+Inputs!$B$13)^A21</f>
        <v>0.6830134553650705</v>
      </c>
      <c r="G21" s="7">
        <f>E21*F21</f>
        <v>2647.1475302996632</v>
      </c>
    </row>
    <row r="22" spans="1:8" ht="22" customHeight="1">
      <c r="A22" s="8">
        <v>5</v>
      </c>
      <c r="B22" s="8">
        <f>Inputs!$B$6+A22-1</f>
        <v>2030</v>
      </c>
      <c r="C22" s="9">
        <f>(1-$B$14)^(A22-1)</f>
        <v>0.5979048017919699</v>
      </c>
      <c r="D22" s="9">
        <f>(1-$B$14)^A22</f>
        <v>0.5257630384247878</v>
      </c>
      <c r="E22" s="7">
        <f>Inputs!$B$11*(1-Inputs!$B$12)*C22</f>
        <v>3408.0573702142287</v>
      </c>
      <c r="F22" s="8">
        <f>1/(1+Inputs!$B$13)^A22</f>
        <v>0.6209213230591549</v>
      </c>
      <c r="G22" s="7">
        <f>E22*F22</f>
        <v>2116.1354913749233</v>
      </c>
    </row>
    <row r="24" spans="1:8" ht="22" customHeight="1">
      <c r="A24" s="4" t="s">
        <v>111</v>
      </c>
      <c r="B24" s="7">
        <f>B8*(1-B14)</f>
        <v>15299.561228077353</v>
      </c>
    </row>
    <row r="27" spans="1:8" ht="25" customHeight="1">
      <c r="A27" s="2" t="s">
        <v>112</v>
      </c>
      <c r="B27" s="2"/>
      <c r="C27" s="2"/>
      <c r="D27" s="2"/>
      <c r="E27" s="2"/>
      <c r="F27" s="2"/>
      <c r="G27" s="2"/>
      <c r="H27" s="2"/>
    </row>
    <row r="28" spans="1:8" ht="25" customHeight="1">
      <c r="A28" s="2"/>
      <c r="B28" s="2"/>
      <c r="C28" s="2"/>
      <c r="D28" s="2"/>
      <c r="E28" s="2"/>
      <c r="F28" s="2"/>
      <c r="G28" s="2"/>
      <c r="H28" s="2"/>
    </row>
    <row r="30" spans="1:8" ht="25" customHeight="1">
      <c r="A30" s="2" t="s">
        <v>113</v>
      </c>
      <c r="B30" s="2"/>
      <c r="C30" s="2"/>
      <c r="D30" s="2"/>
      <c r="E30" s="2"/>
      <c r="F30" s="2"/>
      <c r="G30" s="2"/>
      <c r="H30" s="2"/>
    </row>
    <row r="31" spans="1:8" ht="25" customHeight="1">
      <c r="A31" s="2"/>
      <c r="B31" s="2"/>
      <c r="C31" s="2"/>
      <c r="D31" s="2"/>
      <c r="E31" s="2"/>
      <c r="F31" s="2"/>
      <c r="G31" s="2"/>
      <c r="H31" s="2"/>
    </row>
  </sheetData>
  <mergeCells count="3">
    <mergeCell ref="A1:H1"/>
    <mergeCell ref="A27:H28"/>
    <mergeCell ref="A30:H31"/>
  </mergeCell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5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35.7109375" customWidth="1"/>
    <col min="2" max="8" width="19.7109375" customWidth="1"/>
  </cols>
  <sheetData>
    <row r="1" spans="1:8" ht="22" customHeight="1">
      <c r="A1" s="1" t="s">
        <v>81</v>
      </c>
      <c r="B1" s="1"/>
      <c r="C1" s="1"/>
      <c r="D1" s="1"/>
      <c r="E1" s="1"/>
      <c r="F1" s="1"/>
      <c r="G1" s="1"/>
      <c r="H1" s="1"/>
    </row>
    <row r="3" spans="1:8" ht="32" customHeight="1">
      <c r="A3" s="3" t="s">
        <v>82</v>
      </c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</row>
    <row r="4" spans="1:8" ht="22" customHeight="1">
      <c r="A4" s="8">
        <v>0</v>
      </c>
      <c r="B4" s="9">
        <f>Inputs!$B$14*EXP(-Inputs!$B$15*A4)</f>
        <v>0.18</v>
      </c>
      <c r="C4" s="9">
        <f>(1-B4)^Inputs!$B$5</f>
        <v>0.37073984320000014</v>
      </c>
      <c r="D4" s="7">
        <f>Inputs!$B$11*(1-Inputs!$B$12)*(1-B4)^0/(1+Inputs!$B$13)^1+Inputs!$B$11*(1-Inputs!$B$12)*(1-B4)^1/(1+Inputs!$B$13)^2+Inputs!$B$11*(1-Inputs!$B$12)*(1-B4)^2/(1+Inputs!$B$13)^3+Inputs!$B$11*(1-Inputs!$B$12)*(1-B4)^3/(1+Inputs!$B$13)^4+Inputs!$B$11*(1-Inputs!$B$12)*(1-B4)^4/(1+Inputs!$B$13)^5</f>
        <v>15670.922994579356</v>
      </c>
      <c r="E4" s="8">
        <f>D4/CAC_LTV!$B$7</f>
        <v>2.238703284939908</v>
      </c>
      <c r="F4" s="8">
        <f>D4/CAC_LTV!$C$7</f>
        <v>3.917730748644839</v>
      </c>
    </row>
    <row r="5" spans="1:8" ht="22" customHeight="1">
      <c r="A5" s="8">
        <v>2</v>
      </c>
      <c r="B5" s="9">
        <f>Inputs!$B$14*EXP(-Inputs!$B$15*A5)</f>
        <v>0.14737153555403673</v>
      </c>
      <c r="C5" s="9">
        <f>(1-B5)^Inputs!$B$5</f>
        <v>0.45060824707322883</v>
      </c>
      <c r="D5" s="7">
        <f>Inputs!$B$11*(1-Inputs!$B$12)*(1-B5)^0/(1+Inputs!$B$13)^1+Inputs!$B$11*(1-Inputs!$B$12)*(1-B5)^1/(1+Inputs!$B$13)^2+Inputs!$B$11*(1-Inputs!$B$12)*(1-B5)^2/(1+Inputs!$B$13)^3+Inputs!$B$11*(1-Inputs!$B$12)*(1-B5)^3/(1+Inputs!$B$13)^4+Inputs!$B$11*(1-Inputs!$B$12)*(1-B5)^4/(1+Inputs!$B$13)^5</f>
        <v>16595.216008856507</v>
      </c>
      <c r="E5" s="8">
        <f>D5/CAC_LTV!$B$7</f>
        <v>2.370745144122358</v>
      </c>
      <c r="F5" s="8">
        <f>D5/CAC_LTV!$C$7</f>
        <v>4.148804002214127</v>
      </c>
    </row>
    <row r="6" spans="1:8" ht="22" customHeight="1">
      <c r="A6" s="8">
        <v>4</v>
      </c>
      <c r="B6" s="9">
        <f>Inputs!$B$14*EXP(-Inputs!$B$15*A6)</f>
        <v>0.12065760828641507</v>
      </c>
      <c r="C6" s="9">
        <f>(1-B6)^Inputs!$B$5</f>
        <v>0.5257630384247878</v>
      </c>
      <c r="D6" s="7">
        <f>Inputs!$B$11*(1-Inputs!$B$12)*(1-B6)^0/(1+Inputs!$B$13)^1+Inputs!$B$11*(1-Inputs!$B$12)*(1-B6)^1/(1+Inputs!$B$13)^2+Inputs!$B$11*(1-Inputs!$B$12)*(1-B6)^2/(1+Inputs!$B$13)^3+Inputs!$B$11*(1-Inputs!$B$12)*(1-B6)^3/(1+Inputs!$B$13)^4+Inputs!$B$11*(1-Inputs!$B$12)*(1-B6)^4/(1+Inputs!$B$13)^5</f>
        <v>17398.866894456114</v>
      </c>
      <c r="E6" s="8">
        <f>D6/CAC_LTV!$B$7</f>
        <v>2.4855524134937306</v>
      </c>
      <c r="F6" s="8">
        <f>D6/CAC_LTV!$C$7</f>
        <v>4.349716723614028</v>
      </c>
    </row>
    <row r="7" spans="1:8" ht="22" customHeight="1">
      <c r="A7" s="8">
        <v>6</v>
      </c>
      <c r="B7" s="9">
        <f>Inputs!$B$14*EXP(-Inputs!$B$15*A7)</f>
        <v>0.09878609449692474</v>
      </c>
      <c r="C7" s="9">
        <f>(1-B7)^Inputs!$B$5</f>
        <v>0.594482973801952</v>
      </c>
      <c r="D7" s="7">
        <f>Inputs!$B$11*(1-Inputs!$B$12)*(1-B7)^0/(1+Inputs!$B$13)^1+Inputs!$B$11*(1-Inputs!$B$12)*(1-B7)^1/(1+Inputs!$B$13)^2+Inputs!$B$11*(1-Inputs!$B$12)*(1-B7)^2/(1+Inputs!$B$13)^3+Inputs!$B$11*(1-Inputs!$B$12)*(1-B7)^3/(1+Inputs!$B$13)^4+Inputs!$B$11*(1-Inputs!$B$12)*(1-B7)^4/(1+Inputs!$B$13)^5</f>
        <v>18089.67185412916</v>
      </c>
      <c r="E7" s="8">
        <f>D7/CAC_LTV!$B$7</f>
        <v>2.5842388363041655</v>
      </c>
      <c r="F7" s="8">
        <f>D7/CAC_LTV!$C$7</f>
        <v>4.522417963532289</v>
      </c>
    </row>
    <row r="8" spans="1:8" ht="22" customHeight="1">
      <c r="A8" s="8">
        <v>8</v>
      </c>
      <c r="B8" s="9">
        <f>Inputs!$B$14*EXP(-Inputs!$B$15*A8)</f>
        <v>0.08087921354109988</v>
      </c>
      <c r="C8" s="9">
        <f>(1-B8)^Inputs!$B$5</f>
        <v>0.6559382248806578</v>
      </c>
      <c r="D8" s="7">
        <f>Inputs!$B$11*(1-Inputs!$B$12)*(1-B8)^0/(1+Inputs!$B$13)^1+Inputs!$B$11*(1-Inputs!$B$12)*(1-B8)^1/(1+Inputs!$B$13)^2+Inputs!$B$11*(1-Inputs!$B$12)*(1-B8)^2/(1+Inputs!$B$13)^3+Inputs!$B$11*(1-Inputs!$B$12)*(1-B8)^3/(1+Inputs!$B$13)^4+Inputs!$B$11*(1-Inputs!$B$12)*(1-B8)^4/(1+Inputs!$B$13)^5</f>
        <v>18678.042437064752</v>
      </c>
      <c r="E8" s="8">
        <f>D8/CAC_LTV!$B$7</f>
        <v>2.668291776723536</v>
      </c>
      <c r="F8" s="8">
        <f>D8/CAC_LTV!$C$7</f>
        <v>4.669510609266188</v>
      </c>
    </row>
    <row r="11" spans="1:8" ht="25" customHeight="1">
      <c r="A11" s="2" t="s">
        <v>88</v>
      </c>
      <c r="B11" s="2"/>
      <c r="C11" s="2"/>
      <c r="D11" s="2"/>
      <c r="E11" s="2"/>
      <c r="F11" s="2"/>
      <c r="G11" s="2"/>
      <c r="H11" s="2"/>
    </row>
    <row r="12" spans="1:8" ht="25" customHeight="1">
      <c r="A12" s="2"/>
      <c r="B12" s="2"/>
      <c r="C12" s="2"/>
      <c r="D12" s="2"/>
      <c r="E12" s="2"/>
      <c r="F12" s="2"/>
      <c r="G12" s="2"/>
      <c r="H12" s="2"/>
    </row>
    <row r="14" spans="1:8" ht="25" customHeight="1">
      <c r="A14" s="2" t="s">
        <v>89</v>
      </c>
      <c r="B14" s="2"/>
      <c r="C14" s="2"/>
      <c r="D14" s="2"/>
      <c r="E14" s="2"/>
      <c r="F14" s="2"/>
      <c r="G14" s="2"/>
      <c r="H14" s="2"/>
    </row>
    <row r="15" spans="1:8" ht="25" customHeight="1">
      <c r="A15" s="2"/>
      <c r="B15" s="2"/>
      <c r="C15" s="2"/>
      <c r="D15" s="2"/>
      <c r="E15" s="2"/>
      <c r="F15" s="2"/>
      <c r="G15" s="2"/>
      <c r="H15" s="2"/>
    </row>
  </sheetData>
  <mergeCells count="3">
    <mergeCell ref="A1:H1"/>
    <mergeCell ref="A11:H12"/>
    <mergeCell ref="A14:H15"/>
  </mergeCell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35.7109375" customWidth="1"/>
    <col min="2" max="3" width="19.7109375" customWidth="1"/>
    <col min="4" max="4" width="60.7109375" customWidth="1"/>
    <col min="5" max="8" width="19.7109375" customWidth="1"/>
  </cols>
  <sheetData>
    <row r="1" spans="1:8" ht="22" customHeight="1">
      <c r="A1" s="1" t="s">
        <v>114</v>
      </c>
      <c r="B1" s="1"/>
      <c r="C1" s="1"/>
      <c r="D1" s="1"/>
      <c r="E1" s="1"/>
      <c r="F1" s="1"/>
      <c r="G1" s="1"/>
      <c r="H1" s="1"/>
    </row>
    <row r="3" spans="1:8" ht="32" customHeight="1">
      <c r="A3" s="3" t="s">
        <v>115</v>
      </c>
      <c r="B3" s="3" t="s">
        <v>116</v>
      </c>
      <c r="C3" s="3" t="s">
        <v>117</v>
      </c>
      <c r="D3" s="3" t="s">
        <v>118</v>
      </c>
    </row>
    <row r="4" spans="1:8" ht="32" customHeight="1">
      <c r="A4" s="4" t="s">
        <v>119</v>
      </c>
      <c r="B4" s="7">
        <f>Inputs!$B$17</f>
        <v>32000</v>
      </c>
      <c r="C4" s="7">
        <f>0</f>
        <v>0</v>
      </c>
      <c r="D4" s="4" t="s">
        <v>120</v>
      </c>
    </row>
    <row r="5" spans="1:8" ht="32" customHeight="1">
      <c r="A5" s="4" t="s">
        <v>121</v>
      </c>
      <c r="B5" s="7">
        <f>Inputs!$B$18</f>
        <v>9000</v>
      </c>
      <c r="C5" s="7">
        <f>Inputs!$B$24</f>
        <v>15000</v>
      </c>
      <c r="D5" s="4" t="s">
        <v>122</v>
      </c>
    </row>
    <row r="6" spans="1:8" ht="32" customHeight="1">
      <c r="A6" s="4" t="s">
        <v>123</v>
      </c>
      <c r="B6" s="7">
        <f>SUM(B4:B5)</f>
        <v>41000</v>
      </c>
      <c r="C6" s="7">
        <f>SUM(C4:C5)</f>
        <v>15000</v>
      </c>
      <c r="D6" s="4" t="s">
        <v>124</v>
      </c>
    </row>
    <row r="7" spans="1:8" ht="32" customHeight="1">
      <c r="A7" s="4" t="s">
        <v>125</v>
      </c>
      <c r="B7" s="7">
        <f>Inputs!$B$19</f>
        <v>12000</v>
      </c>
      <c r="C7" s="7">
        <f>Inputs!$B$4*Inputs!$B$25*12</f>
        <v>16800</v>
      </c>
      <c r="D7" s="4" t="s">
        <v>126</v>
      </c>
    </row>
    <row r="8" spans="1:8" ht="32" customHeight="1">
      <c r="A8" s="4" t="s">
        <v>127</v>
      </c>
      <c r="B8" s="7">
        <f>Inputs!$B$20*Inputs!$B$21</f>
        <v>24000</v>
      </c>
      <c r="C8" s="7">
        <f>Inputs!$B$26</f>
        <v>8000</v>
      </c>
      <c r="D8" s="4" t="s">
        <v>128</v>
      </c>
    </row>
    <row r="9" spans="1:8" ht="32" customHeight="1">
      <c r="A9" s="4" t="s">
        <v>129</v>
      </c>
      <c r="B9" s="7">
        <f>Inputs!$B$22</f>
        <v>7000</v>
      </c>
      <c r="C9" s="7">
        <f>0</f>
        <v>0</v>
      </c>
      <c r="D9" s="4" t="s">
        <v>130</v>
      </c>
    </row>
    <row r="10" spans="1:8" ht="32" customHeight="1">
      <c r="A10" s="4" t="s">
        <v>131</v>
      </c>
      <c r="B10" s="7">
        <f>Inputs!$B$23</f>
        <v>5000</v>
      </c>
      <c r="C10" s="7">
        <f>Inputs!$B$23</f>
        <v>5000</v>
      </c>
      <c r="D10" s="4" t="s">
        <v>132</v>
      </c>
    </row>
    <row r="11" spans="1:8" ht="32" customHeight="1">
      <c r="A11" s="4" t="s">
        <v>133</v>
      </c>
      <c r="B11" s="7">
        <f>SUM(B7:B10)</f>
        <v>48000</v>
      </c>
      <c r="C11" s="7">
        <f>SUM(C7:C10)</f>
        <v>29800</v>
      </c>
      <c r="D11" s="4" t="s">
        <v>134</v>
      </c>
    </row>
    <row r="12" spans="1:8" ht="32" customHeight="1">
      <c r="A12" s="4" t="s">
        <v>135</v>
      </c>
      <c r="B12" s="7">
        <f>B6+Inputs!$B$5*B11</f>
        <v>281000.0</v>
      </c>
      <c r="C12" s="7">
        <f>C6+Inputs!$B$5*C11</f>
        <v>164000</v>
      </c>
      <c r="D12" s="4" t="s">
        <v>136</v>
      </c>
    </row>
    <row r="14" spans="1:8" ht="22" customHeight="1">
      <c r="A14" s="4" t="s">
        <v>137</v>
      </c>
      <c r="B14" s="7">
        <f>B12-C12</f>
        <v>117000.0</v>
      </c>
    </row>
    <row r="15" spans="1:8" ht="22" customHeight="1">
      <c r="A15" s="4" t="s">
        <v>138</v>
      </c>
      <c r="B15" s="9">
        <f>B14/B12</f>
        <v>0.41637010676156583</v>
      </c>
    </row>
    <row r="18" spans="1:8" ht="32" customHeight="1">
      <c r="A18" s="3" t="s">
        <v>139</v>
      </c>
      <c r="B18" s="3" t="s">
        <v>92</v>
      </c>
      <c r="C18" s="3" t="s">
        <v>93</v>
      </c>
      <c r="D18" s="3" t="s">
        <v>140</v>
      </c>
      <c r="E18" s="3" t="s">
        <v>141</v>
      </c>
    </row>
    <row r="19" spans="1:8" ht="22" customHeight="1">
      <c r="A19" s="8">
        <v>2026</v>
      </c>
      <c r="B19" s="7">
        <f>$B$11+$B$6</f>
        <v>89000</v>
      </c>
      <c r="C19" s="7">
        <f>$C$11+$C$6</f>
        <v>44800</v>
      </c>
      <c r="D19" s="7">
        <f>SUM(B19:B19)</f>
        <v>89000</v>
      </c>
      <c r="E19" s="7">
        <f>SUM(C19:C19)</f>
        <v>44800</v>
      </c>
    </row>
    <row r="20" spans="1:8" ht="22" customHeight="1">
      <c r="A20" s="8">
        <v>2027</v>
      </c>
      <c r="B20" s="7">
        <f>$B$11</f>
        <v>48000</v>
      </c>
      <c r="C20" s="7">
        <f>$C$11</f>
        <v>29800</v>
      </c>
      <c r="D20" s="7">
        <f>SUM(B19:B20)</f>
        <v>137000</v>
      </c>
      <c r="E20" s="7">
        <f>SUM(C19:C20)</f>
        <v>74600</v>
      </c>
    </row>
    <row r="21" spans="1:8" ht="22" customHeight="1">
      <c r="A21" s="8">
        <v>2028</v>
      </c>
      <c r="B21" s="7">
        <f>$B$11</f>
        <v>48000</v>
      </c>
      <c r="C21" s="7">
        <f>$C$11</f>
        <v>29800</v>
      </c>
      <c r="D21" s="7">
        <f>SUM(B19:B21)</f>
        <v>185000</v>
      </c>
      <c r="E21" s="7">
        <f>SUM(C19:C21)</f>
        <v>104400</v>
      </c>
    </row>
    <row r="22" spans="1:8" ht="22" customHeight="1">
      <c r="A22" s="8">
        <v>2029</v>
      </c>
      <c r="B22" s="7">
        <f>$B$11</f>
        <v>48000</v>
      </c>
      <c r="C22" s="7">
        <f>$C$11</f>
        <v>29800</v>
      </c>
      <c r="D22" s="7">
        <f>SUM(B19:B22)</f>
        <v>233000</v>
      </c>
      <c r="E22" s="7">
        <f>SUM(C19:C22)</f>
        <v>134200</v>
      </c>
    </row>
    <row r="23" spans="1:8" ht="22" customHeight="1">
      <c r="A23" s="8">
        <v>2030</v>
      </c>
      <c r="B23" s="7">
        <f>$B$11</f>
        <v>48000</v>
      </c>
      <c r="C23" s="7">
        <f>$C$11</f>
        <v>29800</v>
      </c>
      <c r="D23" s="7">
        <f>SUM(B19:B23)</f>
        <v>281000</v>
      </c>
      <c r="E23" s="7">
        <f>SUM(C19:C23)</f>
        <v>164000</v>
      </c>
    </row>
    <row r="26" spans="1:8" ht="25" customHeight="1">
      <c r="A26" s="2" t="s">
        <v>142</v>
      </c>
      <c r="B26" s="2"/>
      <c r="C26" s="2"/>
      <c r="D26" s="2"/>
      <c r="E26" s="2"/>
      <c r="F26" s="2"/>
      <c r="G26" s="2"/>
      <c r="H26" s="2"/>
    </row>
    <row r="27" spans="1:8" ht="25" customHeight="1">
      <c r="A27" s="2"/>
      <c r="B27" s="2"/>
      <c r="C27" s="2"/>
      <c r="D27" s="2"/>
      <c r="E27" s="2"/>
      <c r="F27" s="2"/>
      <c r="G27" s="2"/>
      <c r="H27" s="2"/>
    </row>
    <row r="29" spans="1:8" ht="25" customHeight="1">
      <c r="A29" s="2" t="s">
        <v>143</v>
      </c>
      <c r="B29" s="2"/>
      <c r="C29" s="2"/>
      <c r="D29" s="2"/>
      <c r="E29" s="2"/>
      <c r="F29" s="2"/>
      <c r="G29" s="2"/>
      <c r="H29" s="2"/>
    </row>
    <row r="30" spans="1:8" ht="25" customHeight="1">
      <c r="A30" s="2"/>
      <c r="B30" s="2"/>
      <c r="C30" s="2"/>
      <c r="D30" s="2"/>
      <c r="E30" s="2"/>
      <c r="F30" s="2"/>
      <c r="G30" s="2"/>
      <c r="H30" s="2"/>
    </row>
  </sheetData>
  <mergeCells count="3">
    <mergeCell ref="A1:H1"/>
    <mergeCell ref="A26:H27"/>
    <mergeCell ref="A29:H30"/>
  </mergeCell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6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35.7109375" customWidth="1"/>
    <col min="2" max="8" width="19.7109375" customWidth="1"/>
  </cols>
  <sheetData>
    <row r="1" spans="1:8" ht="22" customHeight="1">
      <c r="A1" s="1" t="s">
        <v>144</v>
      </c>
      <c r="B1" s="1"/>
      <c r="C1" s="1"/>
      <c r="D1" s="1"/>
      <c r="E1" s="1"/>
      <c r="F1" s="1"/>
      <c r="G1" s="1"/>
      <c r="H1" s="1"/>
    </row>
    <row r="3" spans="1:8" ht="32" customHeight="1">
      <c r="A3" s="3" t="s">
        <v>145</v>
      </c>
      <c r="B3" s="3" t="s">
        <v>146</v>
      </c>
      <c r="C3" s="3" t="s">
        <v>147</v>
      </c>
      <c r="D3" s="3" t="s">
        <v>148</v>
      </c>
      <c r="E3" s="3" t="s">
        <v>149</v>
      </c>
      <c r="F3" s="3" t="s">
        <v>150</v>
      </c>
    </row>
    <row r="4" spans="1:8" ht="22" customHeight="1">
      <c r="A4" s="7">
        <f>Inputs!$B$25</f>
        <v>7</v>
      </c>
      <c r="B4" s="8">
        <f>Inputs!$B$21</f>
        <v>0.3</v>
      </c>
      <c r="C4" s="7">
        <f>Inputs!$B$17+Inputs!$B$18+Inputs!$B$5*(Inputs!$B$19+Inputs!$B$20*B4+Inputs!$B$22+Inputs!$B$23)</f>
        <v>281000.0</v>
      </c>
      <c r="D4" s="7">
        <f>Inputs!$B$24+Inputs!$B$5*(Inputs!$B$4*A4*12+Inputs!$B$26+Inputs!$B$23)</f>
        <v>164000</v>
      </c>
      <c r="E4" s="7">
        <f>C4-D4</f>
        <v>117000.0</v>
      </c>
      <c r="F4" s="4" t="str">
        <f>IF(E4&gt;0,"Google",IF(E4&lt;0,"Exchange","Tie"))</f>
        <v>Google</v>
      </c>
    </row>
    <row r="5" spans="1:8" ht="22" customHeight="1">
      <c r="A5" s="7">
        <f>Inputs!$B$25</f>
        <v>7</v>
      </c>
      <c r="B5" s="8">
        <f>Inputs!$B$28</f>
        <v>0.15</v>
      </c>
      <c r="C5" s="7">
        <f>Inputs!$B$17+Inputs!$B$18+Inputs!$B$5*(Inputs!$B$19+Inputs!$B$20*B5+Inputs!$B$22+Inputs!$B$23)</f>
        <v>221000.0</v>
      </c>
      <c r="D5" s="7">
        <f>Inputs!$B$24+Inputs!$B$5*(Inputs!$B$4*A5*12+Inputs!$B$26+Inputs!$B$23)</f>
        <v>164000</v>
      </c>
      <c r="E5" s="7">
        <f>C5-D5</f>
        <v>57000.0</v>
      </c>
      <c r="F5" s="4" t="str">
        <f>IF(E5&gt;0,"Google",IF(E5&lt;0,"Exchange","Tie"))</f>
        <v>Google</v>
      </c>
    </row>
    <row r="6" spans="1:8" ht="22" customHeight="1">
      <c r="A6" s="7">
        <f>Inputs!$B$27</f>
        <v>14</v>
      </c>
      <c r="B6" s="8">
        <f>Inputs!$B$21</f>
        <v>0.3</v>
      </c>
      <c r="C6" s="7">
        <f>Inputs!$B$17+Inputs!$B$18+Inputs!$B$5*(Inputs!$B$19+Inputs!$B$20*B6+Inputs!$B$22+Inputs!$B$23)</f>
        <v>281000.0</v>
      </c>
      <c r="D6" s="7">
        <f>Inputs!$B$24+Inputs!$B$5*(Inputs!$B$4*A6*12+Inputs!$B$26+Inputs!$B$23)</f>
        <v>248000</v>
      </c>
      <c r="E6" s="7">
        <f>C6-D6</f>
        <v>33000.0</v>
      </c>
      <c r="F6" s="4" t="str">
        <f>IF(E6&gt;0,"Google",IF(E6&lt;0,"Exchange","Tie"))</f>
        <v>Google</v>
      </c>
    </row>
    <row r="7" spans="1:8" ht="22" customHeight="1">
      <c r="A7" s="7">
        <f>Inputs!$B$27</f>
        <v>14</v>
      </c>
      <c r="B7" s="8">
        <f>Inputs!$B$28</f>
        <v>0.15</v>
      </c>
      <c r="C7" s="7">
        <f>Inputs!$B$17+Inputs!$B$18+Inputs!$B$5*(Inputs!$B$19+Inputs!$B$20*B7+Inputs!$B$22+Inputs!$B$23)</f>
        <v>221000.0</v>
      </c>
      <c r="D7" s="7">
        <f>Inputs!$B$24+Inputs!$B$5*(Inputs!$B$4*A7*12+Inputs!$B$26+Inputs!$B$23)</f>
        <v>248000</v>
      </c>
      <c r="E7" s="7">
        <f>C7-D7</f>
        <v>-27000.0</v>
      </c>
      <c r="F7" s="4" t="str">
        <f>IF(E7&gt;0,"Google",IF(E7&lt;0,"Exchange","Tie"))</f>
        <v>Exchange</v>
      </c>
    </row>
    <row r="10" spans="1:8" ht="32" customHeight="1">
      <c r="A10" s="3" t="s">
        <v>146</v>
      </c>
      <c r="B10" s="3" t="s">
        <v>151</v>
      </c>
      <c r="C10" s="3" t="s">
        <v>15</v>
      </c>
    </row>
    <row r="11" spans="1:8" ht="22" customHeight="1">
      <c r="A11" s="8">
        <f>Inputs!$B$21</f>
        <v>0.3</v>
      </c>
      <c r="B11" s="7">
        <f>(Inputs!$B$17+Inputs!$B$18+Inputs!$B$5*(Inputs!$B$19+Inputs!$B$20*A11+Inputs!$B$22+Inputs!$B$23)-Inputs!$B$24-Inputs!$B$5*(Inputs!$B$26+Inputs!$B$23))/(Inputs!$B$5*Inputs!$B$4*12)</f>
        <v>16.75</v>
      </c>
      <c r="C11" s="4" t="s">
        <v>73</v>
      </c>
    </row>
    <row r="12" spans="1:8" ht="22" customHeight="1">
      <c r="A12" s="8">
        <f>Inputs!$B$28</f>
        <v>0.15</v>
      </c>
      <c r="B12" s="7">
        <f>(Inputs!$B$17+Inputs!$B$18+Inputs!$B$5*(Inputs!$B$19+Inputs!$B$20*A12+Inputs!$B$22+Inputs!$B$23)-Inputs!$B$24-Inputs!$B$5*(Inputs!$B$26+Inputs!$B$23))/(Inputs!$B$5*Inputs!$B$4*12)</f>
        <v>11.75</v>
      </c>
      <c r="C12" s="4" t="s">
        <v>73</v>
      </c>
    </row>
    <row r="15" spans="1:8" ht="25" customHeight="1">
      <c r="A15" s="2" t="s">
        <v>152</v>
      </c>
      <c r="B15" s="2"/>
      <c r="C15" s="2"/>
      <c r="D15" s="2"/>
      <c r="E15" s="2"/>
      <c r="F15" s="2"/>
      <c r="G15" s="2"/>
      <c r="H15" s="2"/>
    </row>
    <row r="16" spans="1:8" ht="25" customHeight="1">
      <c r="A16" s="2"/>
      <c r="B16" s="2"/>
      <c r="C16" s="2"/>
      <c r="D16" s="2"/>
      <c r="E16" s="2"/>
      <c r="F16" s="2"/>
      <c r="G16" s="2"/>
      <c r="H16" s="2"/>
    </row>
  </sheetData>
  <mergeCells count="2">
    <mergeCell ref="A1:H1"/>
    <mergeCell ref="A15:H16"/>
  </mergeCell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35.7109375" customWidth="1"/>
    <col min="2" max="8" width="19.7109375" customWidth="1"/>
  </cols>
  <sheetData>
    <row r="1" spans="1:8" ht="22" customHeight="1">
      <c r="A1" s="1" t="s">
        <v>153</v>
      </c>
      <c r="B1" s="1"/>
      <c r="C1" s="1"/>
      <c r="D1" s="1"/>
      <c r="E1" s="1"/>
      <c r="F1" s="1"/>
      <c r="G1" s="1"/>
      <c r="H1" s="1"/>
    </row>
    <row r="49" spans="1:8" ht="25" customHeight="1">
      <c r="A49" s="2" t="s">
        <v>154</v>
      </c>
      <c r="B49" s="2"/>
      <c r="C49" s="2"/>
      <c r="D49" s="2"/>
      <c r="E49" s="2"/>
      <c r="F49" s="2"/>
      <c r="G49" s="2"/>
      <c r="H49" s="2"/>
    </row>
    <row r="50" spans="1:8" ht="25" customHeight="1">
      <c r="A50" s="2"/>
      <c r="B50" s="2"/>
      <c r="C50" s="2"/>
      <c r="D50" s="2"/>
      <c r="E50" s="2"/>
      <c r="F50" s="2"/>
      <c r="G50" s="2"/>
      <c r="H50" s="2"/>
    </row>
  </sheetData>
  <mergeCells count="2">
    <mergeCell ref="A1:H1"/>
    <mergeCell ref="A49:H50"/>
  </mergeCell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0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8.7109375" customWidth="1"/>
    <col min="2" max="2" width="22.7109375" customWidth="1"/>
    <col min="3" max="3" width="35.7109375" customWidth="1"/>
    <col min="4" max="8" width="52.7109375" customWidth="1"/>
  </cols>
  <sheetData>
    <row r="1" spans="1:8" ht="22" customHeight="1">
      <c r="A1" s="1" t="s">
        <v>155</v>
      </c>
      <c r="B1" s="1"/>
      <c r="C1" s="1"/>
      <c r="D1" s="1"/>
      <c r="E1" s="1"/>
      <c r="F1" s="1"/>
      <c r="G1" s="1"/>
      <c r="H1" s="1"/>
    </row>
    <row r="3" spans="1:8" ht="32" customHeight="1">
      <c r="A3" s="3" t="s">
        <v>156</v>
      </c>
      <c r="B3" s="3" t="s">
        <v>157</v>
      </c>
      <c r="C3" s="3" t="s">
        <v>158</v>
      </c>
      <c r="D3" s="3" t="s">
        <v>159</v>
      </c>
      <c r="E3" s="3" t="s">
        <v>160</v>
      </c>
      <c r="F3" s="3" t="s">
        <v>161</v>
      </c>
      <c r="G3" s="3" t="s">
        <v>162</v>
      </c>
      <c r="H3" s="3" t="s">
        <v>163</v>
      </c>
    </row>
    <row r="4" spans="1:8" ht="95" customHeight="1">
      <c r="A4" s="4" t="s">
        <v>164</v>
      </c>
      <c r="B4" s="4" t="s">
        <v>165</v>
      </c>
      <c r="C4" s="4" t="s">
        <v>166</v>
      </c>
      <c r="D4" s="4" t="s">
        <v>167</v>
      </c>
      <c r="E4" s="4" t="s">
        <v>168</v>
      </c>
      <c r="F4" s="4" t="s">
        <v>169</v>
      </c>
      <c r="G4" s="4"/>
      <c r="H4" s="4" t="s">
        <v>170</v>
      </c>
    </row>
    <row r="5" spans="1:8" ht="95" customHeight="1">
      <c r="A5" s="4" t="s">
        <v>171</v>
      </c>
      <c r="B5" s="4" t="s">
        <v>172</v>
      </c>
      <c r="C5" s="4" t="s">
        <v>173</v>
      </c>
      <c r="D5" s="4" t="s">
        <v>174</v>
      </c>
      <c r="E5" s="4" t="s">
        <v>175</v>
      </c>
      <c r="F5" s="4" t="s">
        <v>176</v>
      </c>
      <c r="G5" s="4"/>
      <c r="H5" s="4" t="s">
        <v>177</v>
      </c>
    </row>
    <row r="6" spans="1:8" ht="95" customHeight="1">
      <c r="A6" s="4" t="s">
        <v>178</v>
      </c>
      <c r="B6" s="4" t="s">
        <v>179</v>
      </c>
      <c r="C6" s="4" t="s">
        <v>180</v>
      </c>
      <c r="D6" s="4" t="s">
        <v>181</v>
      </c>
      <c r="E6" s="4" t="s">
        <v>182</v>
      </c>
      <c r="F6" s="4" t="s">
        <v>183</v>
      </c>
      <c r="G6" s="4"/>
      <c r="H6" s="4" t="s">
        <v>184</v>
      </c>
    </row>
    <row r="7" spans="1:8" ht="95" customHeight="1">
      <c r="A7" s="4" t="s">
        <v>185</v>
      </c>
      <c r="B7" s="4" t="s">
        <v>186</v>
      </c>
      <c r="C7" s="4" t="s">
        <v>187</v>
      </c>
      <c r="D7" s="4" t="s">
        <v>188</v>
      </c>
      <c r="E7" s="4" t="s">
        <v>189</v>
      </c>
      <c r="F7" s="4" t="s">
        <v>190</v>
      </c>
      <c r="G7" s="4" t="s">
        <v>191</v>
      </c>
      <c r="H7" s="4" t="s">
        <v>192</v>
      </c>
    </row>
    <row r="8" spans="1:8" ht="95" customHeight="1">
      <c r="A8" s="4" t="s">
        <v>193</v>
      </c>
      <c r="B8" s="4" t="s">
        <v>194</v>
      </c>
      <c r="C8" s="4" t="s">
        <v>195</v>
      </c>
      <c r="D8" s="4" t="s">
        <v>196</v>
      </c>
      <c r="E8" s="4" t="s">
        <v>197</v>
      </c>
      <c r="F8" s="4" t="s">
        <v>190</v>
      </c>
      <c r="G8" s="4" t="s">
        <v>198</v>
      </c>
      <c r="H8" s="4" t="s">
        <v>192</v>
      </c>
    </row>
    <row r="9" spans="1:8" ht="95" customHeight="1">
      <c r="A9" s="4" t="s">
        <v>199</v>
      </c>
      <c r="B9" s="4" t="s">
        <v>200</v>
      </c>
      <c r="C9" s="4" t="s">
        <v>201</v>
      </c>
      <c r="D9" s="4" t="s">
        <v>202</v>
      </c>
      <c r="E9" s="4" t="s">
        <v>203</v>
      </c>
      <c r="F9" s="4" t="s">
        <v>190</v>
      </c>
      <c r="G9" s="4" t="s">
        <v>204</v>
      </c>
      <c r="H9" s="4" t="s">
        <v>192</v>
      </c>
    </row>
    <row r="10" spans="1:8" ht="95" customHeight="1">
      <c r="A10" s="4" t="s">
        <v>205</v>
      </c>
      <c r="B10" s="4" t="s">
        <v>206</v>
      </c>
      <c r="C10" s="4" t="s">
        <v>207</v>
      </c>
      <c r="D10" s="4" t="s">
        <v>208</v>
      </c>
      <c r="E10" s="4" t="s">
        <v>209</v>
      </c>
      <c r="F10" s="4" t="s">
        <v>210</v>
      </c>
      <c r="G10" s="4" t="s">
        <v>211</v>
      </c>
      <c r="H10" s="4" t="s">
        <v>212</v>
      </c>
    </row>
    <row r="11" spans="1:8" ht="95" customHeight="1">
      <c r="A11" s="4" t="s">
        <v>213</v>
      </c>
      <c r="B11" s="4" t="s">
        <v>214</v>
      </c>
      <c r="C11" s="4" t="s">
        <v>215</v>
      </c>
      <c r="D11" s="4" t="s">
        <v>216</v>
      </c>
      <c r="E11" s="4" t="s">
        <v>217</v>
      </c>
      <c r="F11" s="4" t="s">
        <v>210</v>
      </c>
      <c r="G11" s="4" t="s">
        <v>218</v>
      </c>
      <c r="H11" s="4" t="s">
        <v>219</v>
      </c>
    </row>
    <row r="12" spans="1:8" ht="95" customHeight="1">
      <c r="A12" s="4" t="s">
        <v>220</v>
      </c>
      <c r="B12" s="4" t="s">
        <v>221</v>
      </c>
      <c r="C12" s="4" t="s">
        <v>222</v>
      </c>
      <c r="D12" s="4" t="s">
        <v>223</v>
      </c>
      <c r="E12" s="4" t="s">
        <v>224</v>
      </c>
      <c r="F12" s="4" t="s">
        <v>225</v>
      </c>
      <c r="G12" s="4"/>
      <c r="H12" s="4" t="s">
        <v>226</v>
      </c>
    </row>
    <row r="13" spans="1:8" ht="95" customHeight="1">
      <c r="A13" s="4" t="s">
        <v>227</v>
      </c>
      <c r="B13" s="4" t="s">
        <v>228</v>
      </c>
      <c r="C13" s="4" t="s">
        <v>229</v>
      </c>
      <c r="D13" s="4" t="s">
        <v>230</v>
      </c>
      <c r="E13" s="4" t="s">
        <v>231</v>
      </c>
      <c r="F13" s="4" t="s">
        <v>232</v>
      </c>
      <c r="G13" s="4"/>
      <c r="H13" s="4" t="s">
        <v>233</v>
      </c>
    </row>
    <row r="14" spans="1:8" ht="95" customHeight="1">
      <c r="A14" s="4" t="s">
        <v>234</v>
      </c>
      <c r="B14" s="4" t="s">
        <v>235</v>
      </c>
      <c r="C14" s="4" t="s">
        <v>236</v>
      </c>
      <c r="D14" s="4" t="s">
        <v>237</v>
      </c>
      <c r="E14" s="4" t="s">
        <v>238</v>
      </c>
      <c r="F14" s="4" t="s">
        <v>239</v>
      </c>
      <c r="G14" s="4"/>
      <c r="H14" s="4" t="s">
        <v>240</v>
      </c>
    </row>
    <row r="19" spans="1:8" ht="25" customHeight="1">
      <c r="A19" s="2" t="s">
        <v>241</v>
      </c>
      <c r="B19" s="2"/>
      <c r="C19" s="2"/>
      <c r="D19" s="2"/>
      <c r="E19" s="2"/>
      <c r="F19" s="2"/>
      <c r="G19" s="2"/>
      <c r="H19" s="2"/>
    </row>
    <row r="20" spans="1:8" ht="25" customHeight="1">
      <c r="A20" s="2"/>
      <c r="B20" s="2"/>
      <c r="C20" s="2"/>
      <c r="D20" s="2"/>
      <c r="E20" s="2"/>
      <c r="F20" s="2"/>
      <c r="G20" s="2"/>
      <c r="H20" s="2"/>
    </row>
  </sheetData>
  <mergeCells count="2">
    <mergeCell ref="A1:H1"/>
    <mergeCell ref="A19:H20"/>
  </mergeCells>
  <hyperlinks>
    <hyperlink ref="D4" r:id="rId1"/>
    <hyperlink ref="D5" r:id="rId2"/>
    <hyperlink ref="D6" r:id="rId3"/>
    <hyperlink ref="D7" r:id="rId4"/>
    <hyperlink ref="G7" r:id="rId5"/>
    <hyperlink ref="D8" r:id="rId6"/>
    <hyperlink ref="G8" r:id="rId7"/>
    <hyperlink ref="D9" r:id="rId8"/>
    <hyperlink ref="G9" r:id="rId9"/>
    <hyperlink ref="D10" r:id="rId10"/>
    <hyperlink ref="G10" r:id="rId11"/>
    <hyperlink ref="D11" r:id="rId12"/>
    <hyperlink ref="G11" r:id="rId13"/>
    <hyperlink ref="D12" r:id="rId14"/>
    <hyperlink ref="D13" r:id="rId15"/>
    <hyperlink ref="D14" r:id="rId16"/>
  </hyperlink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22" customHeight="1"/>
  <cols>
    <col min="1" max="1" width="35.7109375" customWidth="1"/>
    <col min="2" max="2" width="19.7109375" customWidth="1"/>
    <col min="3" max="3" width="58.7109375" customWidth="1"/>
    <col min="4" max="8" width="19.7109375" customWidth="1"/>
  </cols>
  <sheetData>
    <row r="1" spans="1:8" ht="22" customHeight="1">
      <c r="A1" s="1" t="s">
        <v>242</v>
      </c>
      <c r="B1" s="1"/>
      <c r="C1" s="1"/>
      <c r="D1" s="1"/>
      <c r="E1" s="1"/>
      <c r="F1" s="1"/>
      <c r="G1" s="1"/>
      <c r="H1" s="1"/>
    </row>
    <row r="3" spans="1:8" ht="32" customHeight="1">
      <c r="A3" s="3" t="s">
        <v>243</v>
      </c>
      <c r="B3" s="3" t="s">
        <v>244</v>
      </c>
      <c r="C3" s="3" t="s">
        <v>245</v>
      </c>
    </row>
    <row r="4" spans="1:8" ht="35" customHeight="1">
      <c r="A4" s="4" t="s">
        <v>246</v>
      </c>
      <c r="B4" s="10" t="str">
        <f>IF(ABS(CAC_LTV!B7-7000)&lt;0.000001,"PASS","FAIL")</f>
        <v>PASS</v>
      </c>
      <c r="C4" s="4" t="s">
        <v>247</v>
      </c>
    </row>
    <row r="5" spans="1:8" ht="35" customHeight="1">
      <c r="A5" s="4" t="s">
        <v>248</v>
      </c>
      <c r="B5" s="10" t="str">
        <f>IF(ABS(CAC_LTV!C7-4000)&lt;0.000001,"PASS","FAIL")</f>
        <v>PASS</v>
      </c>
      <c r="C5" s="4" t="s">
        <v>249</v>
      </c>
    </row>
    <row r="6" spans="1:8" ht="35" customHeight="1">
      <c r="A6" s="4" t="s">
        <v>250</v>
      </c>
      <c r="B6" s="10" t="str">
        <f>IF(ABS(CAC_LTV!B14-0.18*EXP(-0.4))&lt;0.000000001,"PASS","FAIL")</f>
        <v>PASS</v>
      </c>
      <c r="C6" s="4" t="s">
        <v>251</v>
      </c>
    </row>
    <row r="7" spans="1:8" ht="35" customHeight="1">
      <c r="A7" s="4" t="s">
        <v>252</v>
      </c>
      <c r="B7" s="10" t="str">
        <f>IF(ABS(CAC_LTV!B8-17398.8668944561)&lt;0.00001,"PASS","FAIL")</f>
        <v>PASS</v>
      </c>
      <c r="C7" s="4" t="s">
        <v>253</v>
      </c>
    </row>
    <row r="8" spans="1:8" ht="35" customHeight="1">
      <c r="A8" s="4" t="s">
        <v>254</v>
      </c>
      <c r="B8" s="10" t="str">
        <f>IF(ABS(Churn!D6-CAC_LTV!B8)&lt;0.00001,"PASS","FAIL")</f>
        <v>PASS</v>
      </c>
      <c r="C8" s="4" t="s">
        <v>255</v>
      </c>
    </row>
    <row r="9" spans="1:8" ht="35" customHeight="1">
      <c r="A9" s="4" t="s">
        <v>256</v>
      </c>
      <c r="B9" s="10" t="str">
        <f>IF(ABS(TCO!B12-281000)&lt;0.00001,"PASS","FAIL")</f>
        <v>PASS</v>
      </c>
      <c r="C9" s="4" t="s">
        <v>257</v>
      </c>
    </row>
    <row r="10" spans="1:8" ht="35" customHeight="1">
      <c r="A10" s="4" t="s">
        <v>258</v>
      </c>
      <c r="B10" s="10" t="str">
        <f>IF(ABS(TCO!C12-164000)&lt;0.00001,"PASS","FAIL")</f>
        <v>PASS</v>
      </c>
      <c r="C10" s="4" t="s">
        <v>259</v>
      </c>
    </row>
    <row r="11" spans="1:8" ht="35" customHeight="1">
      <c r="A11" s="4" t="s">
        <v>260</v>
      </c>
      <c r="B11" s="10" t="str">
        <f>IF(AND(ABS(SUM(TCO!B19:B23)-TCO!B12)&lt;0.00001,ABS(SUM(TCO!C19:C23)-TCO!C12)&lt;0.00001),"PASS","FAIL")</f>
        <v>PASS</v>
      </c>
      <c r="C11" s="4" t="s">
        <v>261</v>
      </c>
    </row>
    <row r="12" spans="1:8" ht="35" customHeight="1">
      <c r="A12" s="4" t="s">
        <v>262</v>
      </c>
      <c r="B12" s="10" t="str">
        <f>IF(ABS(Sensitivity!E7+27000)&lt;0.00001,"PASS","FAIL")</f>
        <v>PASS</v>
      </c>
      <c r="C12" s="4" t="s">
        <v>263</v>
      </c>
    </row>
    <row r="13" spans="1:8" ht="35" customHeight="1">
      <c r="A13" s="4" t="s">
        <v>264</v>
      </c>
      <c r="B13" s="10" t="str">
        <f>IF(AND(Churn!B4&gt;Churn!B8,Churn!C4&lt;Churn!C8),"PASS","FAIL")</f>
        <v>PASS</v>
      </c>
      <c r="C13" s="4" t="s">
        <v>265</v>
      </c>
    </row>
    <row r="14" spans="1:8" ht="35" customHeight="1">
      <c r="A14" s="4" t="s">
        <v>266</v>
      </c>
      <c r="B14" s="10" t="str">
        <f>IF(ABS(CAC_LTV!G18-5700/1.1)&lt;0.00001,"PASS","FAIL")</f>
        <v>PASS</v>
      </c>
      <c r="C14" s="4" t="s">
        <v>267</v>
      </c>
    </row>
    <row r="15" spans="1:8" ht="35" customHeight="1">
      <c r="A15" s="4" t="s">
        <v>268</v>
      </c>
      <c r="B15" s="10" t="str">
        <f>IF(ABS(CAC_LTV!B24-CAC_LTV!B8*(1-CAC_LTV!B14))&lt;0.00001,"PASS","FAIL")</f>
        <v>PASS</v>
      </c>
      <c r="C15" s="4" t="s">
        <v>269</v>
      </c>
    </row>
    <row r="16" spans="1:8" ht="35" customHeight="1">
      <c r="A16" s="4" t="s">
        <v>270</v>
      </c>
      <c r="B16" s="10" t="str">
        <f>IF(AND(Inputs!$B$16=4,Inputs!$B$25=7,Inputs!$B$21=0.3,Inputs!$B$5=5),"PASS","CHANGED")</f>
        <v>PASS</v>
      </c>
      <c r="C16" s="4" t="s">
        <v>271</v>
      </c>
    </row>
    <row r="20" spans="1:8" ht="25" customHeight="1">
      <c r="A20" s="2" t="s">
        <v>272</v>
      </c>
      <c r="B20" s="2"/>
      <c r="C20" s="2"/>
      <c r="D20" s="2"/>
      <c r="E20" s="2"/>
      <c r="F20" s="2"/>
      <c r="G20" s="2"/>
      <c r="H20" s="2"/>
    </row>
    <row r="21" spans="1:8" ht="25" customHeight="1">
      <c r="A21" s="2"/>
      <c r="B21" s="2"/>
      <c r="C21" s="2"/>
      <c r="D21" s="2"/>
      <c r="E21" s="2"/>
      <c r="F21" s="2"/>
      <c r="G21" s="2"/>
      <c r="H21" s="2"/>
    </row>
  </sheetData>
  <mergeCells count="2">
    <mergeCell ref="A1:H1"/>
    <mergeCell ref="A20:H21"/>
  </mergeCells>
  <pageMargins left="0.7" right="0.7" top="0.75" bottom="0.75" header="0.3" footer="0.3"/>
  <pageSetup paperSize="9" fitToHeight="0" orientation="landscape"/>
  <headerFooter>
    <oddFooter>&amp;LAssignment 1 | Illustrative assumptions&amp;RPage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Guide</vt:lpstr>
      <vt:lpstr>Inputs</vt:lpstr>
      <vt:lpstr>CAC_LTV</vt:lpstr>
      <vt:lpstr>Churn</vt:lpstr>
      <vt:lpstr>TCO</vt:lpstr>
      <vt:lpstr>Sensitivity</vt:lpstr>
      <vt:lpstr>Charts</vt:lpstr>
      <vt:lpstr>Sources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1 — Exchange SE vs Google Workspace</dc:title>
  <dc:subject>Illustrative strategic and quantitative models, 2026–2030</dc:subject>
  <dc:creator>Student review draft</dc:creator>
  <dc:description>No vendor CAC, churn or cost observations are claimed.</dc:description>
  <cp:lastModifiedBy>Student review draft</cp:lastModifiedBy>
  <dcterms:created xsi:type="dcterms:W3CDTF">2026-10-16T09:06:24Z</dcterms:created>
  <dcterms:modified xsi:type="dcterms:W3CDTF">2026-10-16T09:06:24Z</dcterms:modified>
</cp:coreProperties>
</file>